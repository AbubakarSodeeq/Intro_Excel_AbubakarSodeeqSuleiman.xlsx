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  <sheet name="Sheet2" sheetId="2" r:id="rId2"/>
    <sheet name="Sheet3" sheetId="3" r:id="rId3"/>
  </sheets>
  <definedNames>
    <definedName name="Google_Sheet_Link_1827601085" hidden="1">TaxesOwed</definedName>
    <definedName name="TaxesOwed">Sheet1!$F$2:$F$71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<sst xmlns="http://schemas.openxmlformats.org/spreadsheetml/2006/main" count="82" uniqueCount="81">
  <si>
    <t>Employee ID</t>
  </si>
  <si>
    <t>Name</t>
  </si>
  <si>
    <t>Hourly Wage</t>
  </si>
  <si>
    <t>Hours Worked</t>
  </si>
  <si>
    <t>Taxable Income</t>
  </si>
  <si>
    <t>Taxes to Be Paid</t>
  </si>
  <si>
    <t>Tax Rate:</t>
  </si>
  <si>
    <t>0.07</t>
  </si>
  <si>
    <t>Hello</t>
  </si>
  <si>
    <t>Julia</t>
  </si>
  <si>
    <t>James</t>
  </si>
  <si>
    <t>Amelia</t>
  </si>
  <si>
    <t>Freddy</t>
  </si>
  <si>
    <t>Jeff</t>
  </si>
  <si>
    <t>Jefferson</t>
  </si>
  <si>
    <t>Clifford</t>
  </si>
  <si>
    <t>Janay</t>
  </si>
  <si>
    <t>Tanisha</t>
  </si>
  <si>
    <t>Tre</t>
  </si>
  <si>
    <t>Ariana</t>
  </si>
  <si>
    <t>Marisela</t>
  </si>
  <si>
    <t>Adrienne</t>
  </si>
  <si>
    <t>Keegan</t>
  </si>
  <si>
    <t>Nestor</t>
  </si>
  <si>
    <t>Mari</t>
  </si>
  <si>
    <t>Jerod</t>
  </si>
  <si>
    <t>Graciela</t>
  </si>
  <si>
    <t>Kenan</t>
  </si>
  <si>
    <t>Andrea</t>
  </si>
  <si>
    <t>Kolton</t>
  </si>
  <si>
    <t>Dangelo</t>
  </si>
  <si>
    <t>Louis</t>
  </si>
  <si>
    <t>Kerry</t>
  </si>
  <si>
    <t>Anne</t>
  </si>
  <si>
    <t>Keisha</t>
  </si>
  <si>
    <t>Dymond</t>
  </si>
  <si>
    <t>Ingrid</t>
  </si>
  <si>
    <t>Jaime</t>
  </si>
  <si>
    <t>Lilly</t>
  </si>
  <si>
    <t>Rogelio</t>
  </si>
  <si>
    <t>Joshua</t>
  </si>
  <si>
    <t>Lindsay</t>
  </si>
  <si>
    <t>Audra</t>
  </si>
  <si>
    <t>Aubrie</t>
  </si>
  <si>
    <t>Pranav</t>
  </si>
  <si>
    <t>Jordyn</t>
  </si>
  <si>
    <t>Macie</t>
  </si>
  <si>
    <t>Glen</t>
  </si>
  <si>
    <t>Zayne</t>
  </si>
  <si>
    <t>Samuel</t>
  </si>
  <si>
    <t>Ester</t>
  </si>
  <si>
    <t>Leandra</t>
  </si>
  <si>
    <t>Emma</t>
  </si>
  <si>
    <t>Efrain</t>
  </si>
  <si>
    <t>Phillip</t>
  </si>
  <si>
    <t>Judah</t>
  </si>
  <si>
    <t>Keaton</t>
  </si>
  <si>
    <t>Kavon</t>
  </si>
  <si>
    <t>Allan</t>
  </si>
  <si>
    <t>Jacinda</t>
  </si>
  <si>
    <t>Caden</t>
  </si>
  <si>
    <t>Tanya</t>
  </si>
  <si>
    <t>Rosalinda</t>
  </si>
  <si>
    <t>Raekwon</t>
  </si>
  <si>
    <t>Jude</t>
  </si>
  <si>
    <t>Dante</t>
  </si>
  <si>
    <t>Jayden</t>
  </si>
  <si>
    <t>Tianna</t>
  </si>
  <si>
    <t>Dean Ling</t>
  </si>
  <si>
    <t>Danae</t>
  </si>
  <si>
    <t>Alvaro</t>
  </si>
  <si>
    <t>Jayce</t>
  </si>
  <si>
    <t>Tanner</t>
  </si>
  <si>
    <t>Derek</t>
  </si>
  <si>
    <t>Ellie</t>
  </si>
  <si>
    <t>Alek</t>
  </si>
  <si>
    <t>Riya</t>
  </si>
  <si>
    <t>Cortney</t>
  </si>
  <si>
    <t>SUM:</t>
  </si>
  <si>
    <t>AVERAGE:</t>
  </si>
  <si>
    <t>COUNT: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</si>
</sst>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7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left" vertical="center"/>
    </xf>
    <xf numFmtId="4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49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44" fontId="2" fillId="0" borderId="0" xfId="0" applyNumberFormat="1" applyFont="1" applyAlignment="1">
      <alignment vertical="center"/>
    </xf>
    <xf numFmtId="44" fontId="0" fillId="0" borderId="0" xfId="0" applyNumberFormat="1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Font="1" applyAlignment="1">
      <alignment vertical="center"/>
    </xf>
    <xf numFmtId="178" fontId="1" fillId="0" borderId="0" xfId="0" applyNumberFormat="1" applyFont="1" applyAlignment="1">
      <alignment vertical="center"/>
    </xf>
    <xf numFmtId="49" fontId="2" fillId="0" borderId="0" xfId="0" applyNumberFormat="1" applyFont="1"/>
    <xf numFmtId="178" fontId="2" fillId="0" borderId="0" xfId="0" applyNumberFormat="1" applyFont="1"/>
    <xf numFmtId="44" fontId="2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3"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121D0064-466F-4F4C-930D-6C024CB09406}">
      <tableStyleElement type="wholeTable" dxfId="12"/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lvl="0">
              <a:defRPr lang="en-GB" sz="1400" b="0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Employee</a:t>
            </a:r>
            <a:r>
              <a:rPr lang="en-US" sz="1400" b="0" i="0" baseline="0">
                <a:solidFill>
                  <a:srgbClr val="757575"/>
                </a:solidFill>
                <a:latin typeface="+mn-lt"/>
              </a:rPr>
              <a:t> Net Pay Chart</a:t>
            </a:r>
            <a:endParaRPr lang="en-US" sz="1400" b="0" i="0">
              <a:solidFill>
                <a:srgbClr val="757575"/>
              </a:solidFill>
              <a:latin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"Hourly Wage"</c:f>
              <c:strCache>
                <c:ptCount val="1"/>
                <c:pt idx="0">
                  <c:v>Hourly Wage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dLbls>
            <c:delete val="1"/>
          </c:dLbls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Sheet1!$B$2:$B$71</c:f>
              <c:numCache>
                <c:formatCode>@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</c:extLst>
        </c:ser>
        <c:ser>
          <c:idx val="1"/>
          <c:order val="1"/>
          <c:tx>
            <c:strRef>
              <c:f>"Hours Worked"</c:f>
              <c:strCache>
                <c:ptCount val="1"/>
                <c:pt idx="0">
                  <c:v>Hours Worked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dLbls>
            <c:delete val="1"/>
          </c:dLbls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Sheet1!$C$2:$C$71</c:f>
              <c:numCache>
                <c:formatCode>"$"#,##0.00</c:formatCode>
                <c:ptCount val="70"/>
                <c:pt idx="0">
                  <c:v>14.25</c:v>
                </c:pt>
                <c:pt idx="1">
                  <c:v>15.5</c:v>
                </c:pt>
                <c:pt idx="2">
                  <c:v>16</c:v>
                </c:pt>
                <c:pt idx="3">
                  <c:v>13.75</c:v>
                </c:pt>
                <c:pt idx="4">
                  <c:v>15.5</c:v>
                </c:pt>
                <c:pt idx="5">
                  <c:v>17</c:v>
                </c:pt>
                <c:pt idx="6">
                  <c:v>13.75</c:v>
                </c:pt>
                <c:pt idx="7">
                  <c:v>15.5</c:v>
                </c:pt>
                <c:pt idx="8">
                  <c:v>10.75</c:v>
                </c:pt>
                <c:pt idx="9">
                  <c:v>15.5</c:v>
                </c:pt>
                <c:pt idx="10">
                  <c:v>12</c:v>
                </c:pt>
                <c:pt idx="11">
                  <c:v>15.5</c:v>
                </c:pt>
                <c:pt idx="12">
                  <c:v>11.75</c:v>
                </c:pt>
                <c:pt idx="13">
                  <c:v>12</c:v>
                </c:pt>
                <c:pt idx="14">
                  <c:v>19</c:v>
                </c:pt>
                <c:pt idx="15">
                  <c:v>17</c:v>
                </c:pt>
                <c:pt idx="16">
                  <c:v>19</c:v>
                </c:pt>
                <c:pt idx="17">
                  <c:v>16</c:v>
                </c:pt>
                <c:pt idx="18">
                  <c:v>18</c:v>
                </c:pt>
                <c:pt idx="19">
                  <c:v>16.5</c:v>
                </c:pt>
                <c:pt idx="20">
                  <c:v>13</c:v>
                </c:pt>
                <c:pt idx="21">
                  <c:v>12</c:v>
                </c:pt>
                <c:pt idx="22">
                  <c:v>18</c:v>
                </c:pt>
                <c:pt idx="23">
                  <c:v>22</c:v>
                </c:pt>
                <c:pt idx="24">
                  <c:v>32</c:v>
                </c:pt>
                <c:pt idx="25">
                  <c:v>11</c:v>
                </c:pt>
                <c:pt idx="26">
                  <c:v>14</c:v>
                </c:pt>
                <c:pt idx="27">
                  <c:v>15.5</c:v>
                </c:pt>
                <c:pt idx="28">
                  <c:v>15</c:v>
                </c:pt>
                <c:pt idx="29">
                  <c:v>12</c:v>
                </c:pt>
                <c:pt idx="30">
                  <c:v>15.5</c:v>
                </c:pt>
                <c:pt idx="31">
                  <c:v>11.75</c:v>
                </c:pt>
                <c:pt idx="32">
                  <c:v>12</c:v>
                </c:pt>
                <c:pt idx="33">
                  <c:v>19</c:v>
                </c:pt>
                <c:pt idx="34">
                  <c:v>17</c:v>
                </c:pt>
                <c:pt idx="35">
                  <c:v>19</c:v>
                </c:pt>
                <c:pt idx="36">
                  <c:v>16</c:v>
                </c:pt>
                <c:pt idx="37">
                  <c:v>18</c:v>
                </c:pt>
                <c:pt idx="38">
                  <c:v>15.5</c:v>
                </c:pt>
                <c:pt idx="39">
                  <c:v>14</c:v>
                </c:pt>
                <c:pt idx="40">
                  <c:v>12</c:v>
                </c:pt>
                <c:pt idx="41">
                  <c:v>11</c:v>
                </c:pt>
                <c:pt idx="42">
                  <c:v>12</c:v>
                </c:pt>
                <c:pt idx="43">
                  <c:v>15.5</c:v>
                </c:pt>
                <c:pt idx="44">
                  <c:v>11.75</c:v>
                </c:pt>
                <c:pt idx="45">
                  <c:v>12</c:v>
                </c:pt>
                <c:pt idx="46">
                  <c:v>19</c:v>
                </c:pt>
                <c:pt idx="47">
                  <c:v>17</c:v>
                </c:pt>
                <c:pt idx="48">
                  <c:v>19</c:v>
                </c:pt>
                <c:pt idx="49">
                  <c:v>16</c:v>
                </c:pt>
                <c:pt idx="50">
                  <c:v>18</c:v>
                </c:pt>
                <c:pt idx="51">
                  <c:v>11.5</c:v>
                </c:pt>
                <c:pt idx="52">
                  <c:v>15.5</c:v>
                </c:pt>
                <c:pt idx="53">
                  <c:v>15.5</c:v>
                </c:pt>
                <c:pt idx="54">
                  <c:v>12</c:v>
                </c:pt>
                <c:pt idx="55">
                  <c:v>15.5</c:v>
                </c:pt>
                <c:pt idx="56">
                  <c:v>11.75</c:v>
                </c:pt>
                <c:pt idx="57">
                  <c:v>12</c:v>
                </c:pt>
                <c:pt idx="58">
                  <c:v>19</c:v>
                </c:pt>
                <c:pt idx="59">
                  <c:v>17</c:v>
                </c:pt>
                <c:pt idx="60">
                  <c:v>19</c:v>
                </c:pt>
                <c:pt idx="61">
                  <c:v>16</c:v>
                </c:pt>
                <c:pt idx="62">
                  <c:v>18</c:v>
                </c:pt>
                <c:pt idx="63">
                  <c:v>11</c:v>
                </c:pt>
                <c:pt idx="64">
                  <c:v>15.5</c:v>
                </c:pt>
                <c:pt idx="65">
                  <c:v>11</c:v>
                </c:pt>
                <c:pt idx="66">
                  <c:v>12</c:v>
                </c:pt>
                <c:pt idx="67">
                  <c:v>15.5</c:v>
                </c:pt>
                <c:pt idx="68">
                  <c:v>11</c:v>
                </c:pt>
                <c:pt idx="69">
                  <c:v>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</c:extLst>
        </c:ser>
        <c:ser>
          <c:idx val="2"/>
          <c:order val="2"/>
          <c:tx>
            <c:strRef>
              <c:f>" Taxable Income "</c:f>
              <c:strCache>
                <c:ptCount val="1"/>
                <c:pt idx="0">
                  <c:v> Taxable Income 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dLbls>
            <c:delete val="1"/>
          </c:dLbls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Sheet1!$D$2:$D$71</c:f>
              <c:numCache>
                <c:formatCode>General</c:formatCode>
                <c:ptCount val="70"/>
                <c:pt idx="0">
                  <c:v>158</c:v>
                </c:pt>
                <c:pt idx="1">
                  <c:v>160</c:v>
                </c:pt>
                <c:pt idx="2">
                  <c:v>125</c:v>
                </c:pt>
                <c:pt idx="3">
                  <c:v>165</c:v>
                </c:pt>
                <c:pt idx="4">
                  <c:v>144</c:v>
                </c:pt>
                <c:pt idx="5">
                  <c:v>174</c:v>
                </c:pt>
                <c:pt idx="6">
                  <c:v>161</c:v>
                </c:pt>
                <c:pt idx="7">
                  <c:v>69</c:v>
                </c:pt>
                <c:pt idx="8">
                  <c:v>85</c:v>
                </c:pt>
                <c:pt idx="9">
                  <c:v>117</c:v>
                </c:pt>
                <c:pt idx="10">
                  <c:v>160</c:v>
                </c:pt>
                <c:pt idx="11">
                  <c:v>152</c:v>
                </c:pt>
                <c:pt idx="12">
                  <c:v>129</c:v>
                </c:pt>
                <c:pt idx="13">
                  <c:v>74</c:v>
                </c:pt>
                <c:pt idx="14">
                  <c:v>111</c:v>
                </c:pt>
                <c:pt idx="15">
                  <c:v>132</c:v>
                </c:pt>
                <c:pt idx="16">
                  <c:v>168</c:v>
                </c:pt>
                <c:pt idx="17">
                  <c:v>187</c:v>
                </c:pt>
                <c:pt idx="18">
                  <c:v>70</c:v>
                </c:pt>
                <c:pt idx="19">
                  <c:v>138</c:v>
                </c:pt>
                <c:pt idx="20">
                  <c:v>72</c:v>
                </c:pt>
                <c:pt idx="21">
                  <c:v>130</c:v>
                </c:pt>
                <c:pt idx="22">
                  <c:v>208</c:v>
                </c:pt>
                <c:pt idx="23">
                  <c:v>97</c:v>
                </c:pt>
                <c:pt idx="24">
                  <c:v>199</c:v>
                </c:pt>
                <c:pt idx="25">
                  <c:v>160</c:v>
                </c:pt>
                <c:pt idx="26">
                  <c:v>156</c:v>
                </c:pt>
                <c:pt idx="27">
                  <c:v>117</c:v>
                </c:pt>
                <c:pt idx="28">
                  <c:v>76</c:v>
                </c:pt>
                <c:pt idx="29">
                  <c:v>175</c:v>
                </c:pt>
                <c:pt idx="30">
                  <c:v>87</c:v>
                </c:pt>
                <c:pt idx="31">
                  <c:v>130</c:v>
                </c:pt>
                <c:pt idx="32">
                  <c:v>185</c:v>
                </c:pt>
                <c:pt idx="33">
                  <c:v>152</c:v>
                </c:pt>
                <c:pt idx="34">
                  <c:v>186</c:v>
                </c:pt>
                <c:pt idx="35">
                  <c:v>96</c:v>
                </c:pt>
                <c:pt idx="36">
                  <c:v>100</c:v>
                </c:pt>
                <c:pt idx="37">
                  <c:v>124</c:v>
                </c:pt>
                <c:pt idx="38">
                  <c:v>71</c:v>
                </c:pt>
                <c:pt idx="39">
                  <c:v>83</c:v>
                </c:pt>
                <c:pt idx="40">
                  <c:v>168</c:v>
                </c:pt>
                <c:pt idx="41">
                  <c:v>165</c:v>
                </c:pt>
                <c:pt idx="42">
                  <c:v>145</c:v>
                </c:pt>
                <c:pt idx="43">
                  <c:v>133</c:v>
                </c:pt>
                <c:pt idx="44">
                  <c:v>92</c:v>
                </c:pt>
                <c:pt idx="45">
                  <c:v>74</c:v>
                </c:pt>
                <c:pt idx="46">
                  <c:v>201</c:v>
                </c:pt>
                <c:pt idx="47">
                  <c:v>112</c:v>
                </c:pt>
                <c:pt idx="48">
                  <c:v>166</c:v>
                </c:pt>
                <c:pt idx="49">
                  <c:v>160</c:v>
                </c:pt>
                <c:pt idx="50">
                  <c:v>117</c:v>
                </c:pt>
                <c:pt idx="51">
                  <c:v>152</c:v>
                </c:pt>
                <c:pt idx="52">
                  <c:v>129</c:v>
                </c:pt>
                <c:pt idx="53">
                  <c:v>74</c:v>
                </c:pt>
                <c:pt idx="54">
                  <c:v>111</c:v>
                </c:pt>
                <c:pt idx="55">
                  <c:v>132</c:v>
                </c:pt>
                <c:pt idx="56">
                  <c:v>168</c:v>
                </c:pt>
                <c:pt idx="57">
                  <c:v>187</c:v>
                </c:pt>
                <c:pt idx="58">
                  <c:v>70</c:v>
                </c:pt>
                <c:pt idx="59">
                  <c:v>138</c:v>
                </c:pt>
                <c:pt idx="60">
                  <c:v>72</c:v>
                </c:pt>
                <c:pt idx="61">
                  <c:v>130</c:v>
                </c:pt>
                <c:pt idx="62">
                  <c:v>208</c:v>
                </c:pt>
                <c:pt idx="63">
                  <c:v>97</c:v>
                </c:pt>
                <c:pt idx="64">
                  <c:v>199</c:v>
                </c:pt>
                <c:pt idx="65">
                  <c:v>160</c:v>
                </c:pt>
                <c:pt idx="66">
                  <c:v>156</c:v>
                </c:pt>
                <c:pt idx="67">
                  <c:v>117</c:v>
                </c:pt>
                <c:pt idx="68">
                  <c:v>76</c:v>
                </c:pt>
                <c:pt idx="69">
                  <c:v>175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</c:extLst>
        </c:ser>
        <c:ser>
          <c:idx val="3"/>
          <c:order val="3"/>
          <c:tx>
            <c:strRef>
              <c:f>" Taxes to Be Paid "</c:f>
              <c:strCache>
                <c:ptCount val="1"/>
                <c:pt idx="0">
                  <c:v> Taxes to Be Paid </c:v>
                </c:pt>
              </c:strCache>
            </c:strRef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delete val="1"/>
          </c:dLbls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Sheet1!$E$2:$E$71</c:f>
              <c:numCache>
                <c:formatCode>_("$"* #,##0.00_);_("$"* \(#,##0.00\);_("$"* "-"??_);_(@_)</c:formatCode>
                <c:ptCount val="70"/>
                <c:pt idx="0">
                  <c:v>2251.5</c:v>
                </c:pt>
                <c:pt idx="1">
                  <c:v>2480</c:v>
                </c:pt>
                <c:pt idx="2">
                  <c:v>2000</c:v>
                </c:pt>
                <c:pt idx="3">
                  <c:v>2268.75</c:v>
                </c:pt>
                <c:pt idx="4">
                  <c:v>2232</c:v>
                </c:pt>
                <c:pt idx="5">
                  <c:v>2958</c:v>
                </c:pt>
                <c:pt idx="6">
                  <c:v>2213.75</c:v>
                </c:pt>
                <c:pt idx="7">
                  <c:v>1069.5</c:v>
                </c:pt>
                <c:pt idx="8">
                  <c:v>913.75</c:v>
                </c:pt>
                <c:pt idx="9">
                  <c:v>1813.5</c:v>
                </c:pt>
                <c:pt idx="10">
                  <c:v>1920</c:v>
                </c:pt>
                <c:pt idx="11">
                  <c:v>2356</c:v>
                </c:pt>
                <c:pt idx="12">
                  <c:v>1515.75</c:v>
                </c:pt>
                <c:pt idx="13">
                  <c:v>888</c:v>
                </c:pt>
                <c:pt idx="14">
                  <c:v>2109</c:v>
                </c:pt>
                <c:pt idx="15">
                  <c:v>2244</c:v>
                </c:pt>
                <c:pt idx="16">
                  <c:v>3192</c:v>
                </c:pt>
                <c:pt idx="17">
                  <c:v>2992</c:v>
                </c:pt>
                <c:pt idx="18">
                  <c:v>1260</c:v>
                </c:pt>
                <c:pt idx="19">
                  <c:v>2277</c:v>
                </c:pt>
                <c:pt idx="20">
                  <c:v>936</c:v>
                </c:pt>
                <c:pt idx="21">
                  <c:v>1560</c:v>
                </c:pt>
                <c:pt idx="22">
                  <c:v>3744</c:v>
                </c:pt>
                <c:pt idx="23">
                  <c:v>2134</c:v>
                </c:pt>
                <c:pt idx="24">
                  <c:v>6368</c:v>
                </c:pt>
                <c:pt idx="25">
                  <c:v>1760</c:v>
                </c:pt>
                <c:pt idx="26">
                  <c:v>2184</c:v>
                </c:pt>
                <c:pt idx="27">
                  <c:v>1813.5</c:v>
                </c:pt>
                <c:pt idx="28">
                  <c:v>1140</c:v>
                </c:pt>
                <c:pt idx="29">
                  <c:v>2100</c:v>
                </c:pt>
                <c:pt idx="30">
                  <c:v>1348.5</c:v>
                </c:pt>
                <c:pt idx="31">
                  <c:v>1527.5</c:v>
                </c:pt>
                <c:pt idx="32">
                  <c:v>2220</c:v>
                </c:pt>
                <c:pt idx="33">
                  <c:v>2888</c:v>
                </c:pt>
                <c:pt idx="34">
                  <c:v>3162</c:v>
                </c:pt>
                <c:pt idx="35">
                  <c:v>1824</c:v>
                </c:pt>
                <c:pt idx="36">
                  <c:v>1600</c:v>
                </c:pt>
                <c:pt idx="37">
                  <c:v>2232</c:v>
                </c:pt>
                <c:pt idx="38">
                  <c:v>1100.5</c:v>
                </c:pt>
                <c:pt idx="39">
                  <c:v>1162</c:v>
                </c:pt>
                <c:pt idx="40">
                  <c:v>2016</c:v>
                </c:pt>
                <c:pt idx="41">
                  <c:v>1815</c:v>
                </c:pt>
                <c:pt idx="42">
                  <c:v>1740</c:v>
                </c:pt>
                <c:pt idx="43">
                  <c:v>2061.5</c:v>
                </c:pt>
                <c:pt idx="44">
                  <c:v>1081</c:v>
                </c:pt>
                <c:pt idx="45">
                  <c:v>888</c:v>
                </c:pt>
                <c:pt idx="46">
                  <c:v>3819</c:v>
                </c:pt>
                <c:pt idx="47">
                  <c:v>1904</c:v>
                </c:pt>
                <c:pt idx="48">
                  <c:v>3154</c:v>
                </c:pt>
                <c:pt idx="49">
                  <c:v>2560</c:v>
                </c:pt>
                <c:pt idx="50">
                  <c:v>2106</c:v>
                </c:pt>
                <c:pt idx="51">
                  <c:v>1748</c:v>
                </c:pt>
                <c:pt idx="52">
                  <c:v>1999.5</c:v>
                </c:pt>
                <c:pt idx="53">
                  <c:v>1147</c:v>
                </c:pt>
                <c:pt idx="54">
                  <c:v>1332</c:v>
                </c:pt>
                <c:pt idx="55">
                  <c:v>2046</c:v>
                </c:pt>
                <c:pt idx="56">
                  <c:v>1974</c:v>
                </c:pt>
                <c:pt idx="57">
                  <c:v>2244</c:v>
                </c:pt>
                <c:pt idx="58">
                  <c:v>1330</c:v>
                </c:pt>
                <c:pt idx="59">
                  <c:v>2346</c:v>
                </c:pt>
                <c:pt idx="60">
                  <c:v>1368</c:v>
                </c:pt>
                <c:pt idx="61">
                  <c:v>2080</c:v>
                </c:pt>
                <c:pt idx="62">
                  <c:v>3744</c:v>
                </c:pt>
                <c:pt idx="63">
                  <c:v>1067</c:v>
                </c:pt>
                <c:pt idx="64">
                  <c:v>3084.5</c:v>
                </c:pt>
                <c:pt idx="65">
                  <c:v>1760</c:v>
                </c:pt>
                <c:pt idx="66">
                  <c:v>1872</c:v>
                </c:pt>
                <c:pt idx="67">
                  <c:v>1813.5</c:v>
                </c:pt>
                <c:pt idx="68">
                  <c:v>836</c:v>
                </c:pt>
                <c:pt idx="69">
                  <c:v>2100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</c:extLst>
        </c:ser>
        <c:ser>
          <c:idx val="4"/>
          <c:order val="4"/>
          <c:invertIfNegative val="1"/>
          <c:dLbls>
            <c:delete val="1"/>
          </c:dLbls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Sheet1!$F$1:$F$71</c:f>
              <c:numCache>
                <c:formatCode>_("$"* #,##0.00_);_("$"* \(#,##0.00\);_("$"* "-"??_);_(@_)</c:formatCode>
                <c:ptCount val="71"/>
                <c:pt idx="0">
                  <c:v>0</c:v>
                </c:pt>
                <c:pt idx="1">
                  <c:v>157.605</c:v>
                </c:pt>
                <c:pt idx="2">
                  <c:v>173.6</c:v>
                </c:pt>
                <c:pt idx="3">
                  <c:v>140</c:v>
                </c:pt>
                <c:pt idx="4">
                  <c:v>158.8125</c:v>
                </c:pt>
                <c:pt idx="5">
                  <c:v>156.24</c:v>
                </c:pt>
                <c:pt idx="6">
                  <c:v>207.06</c:v>
                </c:pt>
                <c:pt idx="7">
                  <c:v>154.9625</c:v>
                </c:pt>
                <c:pt idx="8">
                  <c:v>74.865</c:v>
                </c:pt>
                <c:pt idx="9">
                  <c:v>63.9625</c:v>
                </c:pt>
                <c:pt idx="10">
                  <c:v>126.945</c:v>
                </c:pt>
                <c:pt idx="11">
                  <c:v>134.4</c:v>
                </c:pt>
                <c:pt idx="12">
                  <c:v>164.92</c:v>
                </c:pt>
                <c:pt idx="13">
                  <c:v>106.1025</c:v>
                </c:pt>
                <c:pt idx="14">
                  <c:v>62.16</c:v>
                </c:pt>
                <c:pt idx="15">
                  <c:v>147.63</c:v>
                </c:pt>
                <c:pt idx="16">
                  <c:v>157.08</c:v>
                </c:pt>
                <c:pt idx="17">
                  <c:v>223.44</c:v>
                </c:pt>
                <c:pt idx="18">
                  <c:v>209.44</c:v>
                </c:pt>
                <c:pt idx="19">
                  <c:v>88.2</c:v>
                </c:pt>
                <c:pt idx="20">
                  <c:v>159.39</c:v>
                </c:pt>
                <c:pt idx="21">
                  <c:v>65.52</c:v>
                </c:pt>
                <c:pt idx="22">
                  <c:v>109.2</c:v>
                </c:pt>
                <c:pt idx="23">
                  <c:v>262.08</c:v>
                </c:pt>
                <c:pt idx="24">
                  <c:v>149.38</c:v>
                </c:pt>
                <c:pt idx="25">
                  <c:v>445.76</c:v>
                </c:pt>
                <c:pt idx="26">
                  <c:v>123.2</c:v>
                </c:pt>
                <c:pt idx="27">
                  <c:v>152.88</c:v>
                </c:pt>
                <c:pt idx="28">
                  <c:v>126.945</c:v>
                </c:pt>
                <c:pt idx="29">
                  <c:v>79.8</c:v>
                </c:pt>
                <c:pt idx="30">
                  <c:v>147</c:v>
                </c:pt>
                <c:pt idx="31">
                  <c:v>94.395</c:v>
                </c:pt>
                <c:pt idx="32">
                  <c:v>106.925</c:v>
                </c:pt>
                <c:pt idx="33">
                  <c:v>155.4</c:v>
                </c:pt>
                <c:pt idx="34">
                  <c:v>202.16</c:v>
                </c:pt>
                <c:pt idx="35">
                  <c:v>221.34</c:v>
                </c:pt>
                <c:pt idx="36">
                  <c:v>127.68</c:v>
                </c:pt>
                <c:pt idx="37">
                  <c:v>112</c:v>
                </c:pt>
                <c:pt idx="38">
                  <c:v>156.24</c:v>
                </c:pt>
                <c:pt idx="39">
                  <c:v>77.035</c:v>
                </c:pt>
                <c:pt idx="40">
                  <c:v>81.34</c:v>
                </c:pt>
                <c:pt idx="41">
                  <c:v>141.12</c:v>
                </c:pt>
                <c:pt idx="42">
                  <c:v>127.05</c:v>
                </c:pt>
                <c:pt idx="43">
                  <c:v>121.8</c:v>
                </c:pt>
                <c:pt idx="44">
                  <c:v>144.305</c:v>
                </c:pt>
                <c:pt idx="45">
                  <c:v>75.67</c:v>
                </c:pt>
                <c:pt idx="46">
                  <c:v>62.16</c:v>
                </c:pt>
                <c:pt idx="47">
                  <c:v>267.33</c:v>
                </c:pt>
                <c:pt idx="48">
                  <c:v>133.28</c:v>
                </c:pt>
                <c:pt idx="49">
                  <c:v>220.78</c:v>
                </c:pt>
                <c:pt idx="50">
                  <c:v>179.2</c:v>
                </c:pt>
                <c:pt idx="51">
                  <c:v>147.42</c:v>
                </c:pt>
                <c:pt idx="52">
                  <c:v>122.36</c:v>
                </c:pt>
                <c:pt idx="53">
                  <c:v>139.965</c:v>
                </c:pt>
                <c:pt idx="54">
                  <c:v>80.29</c:v>
                </c:pt>
                <c:pt idx="55">
                  <c:v>93.24</c:v>
                </c:pt>
                <c:pt idx="56">
                  <c:v>143.22</c:v>
                </c:pt>
                <c:pt idx="57">
                  <c:v>138.18</c:v>
                </c:pt>
                <c:pt idx="58">
                  <c:v>157.08</c:v>
                </c:pt>
                <c:pt idx="59">
                  <c:v>93.1</c:v>
                </c:pt>
                <c:pt idx="60">
                  <c:v>164.22</c:v>
                </c:pt>
                <c:pt idx="61">
                  <c:v>95.76</c:v>
                </c:pt>
                <c:pt idx="62">
                  <c:v>145.6</c:v>
                </c:pt>
                <c:pt idx="63">
                  <c:v>262.08</c:v>
                </c:pt>
                <c:pt idx="64">
                  <c:v>74.69</c:v>
                </c:pt>
                <c:pt idx="65">
                  <c:v>215.915</c:v>
                </c:pt>
                <c:pt idx="66">
                  <c:v>123.2</c:v>
                </c:pt>
                <c:pt idx="67">
                  <c:v>131.04</c:v>
                </c:pt>
                <c:pt idx="68">
                  <c:v>126.945</c:v>
                </c:pt>
                <c:pt idx="69">
                  <c:v>58.52</c:v>
                </c:pt>
                <c:pt idx="70">
                  <c:v>147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1549250112"/>
        <c:axId val="-1549246304"/>
      </c:barChart>
      <c:catAx>
        <c:axId val="-154925011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lvl="0">
                  <a:defRPr lang="en-GB"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Employees</a:t>
                </a:r>
                <a:endParaRPr lang="en-US" sz="1000" b="0" i="0">
                  <a:solidFill>
                    <a:srgbClr val="000000"/>
                  </a:solidFill>
                  <a:latin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-1549246304"/>
        <c:crosses val="autoZero"/>
        <c:auto val="1"/>
        <c:lblAlgn val="ctr"/>
        <c:lblOffset val="100"/>
        <c:noMultiLvlLbl val="1"/>
      </c:catAx>
      <c:valAx>
        <c:axId val="-154924630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lvl="0">
                  <a:defRPr lang="en-GB"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Taxable Income, Taxes Owed, etc.</a:t>
                </a:r>
                <a:endParaRPr lang="en-US" sz="1000" b="0" i="0">
                  <a:solidFill>
                    <a:srgbClr val="000000"/>
                  </a:solidFill>
                  <a:latin typeface="+mn-lt"/>
                </a:endParaRPr>
              </a:p>
            </c:rich>
          </c:tx>
          <c:layout/>
          <c:overlay val="0"/>
        </c:title>
        <c:numFmt formatCode="@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-15492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1"/>
    <c:extLst>
      <c:ext uri="{0b15fc19-7d7d-44ad-8c2d-2c3a37ce22c3}">
        <chartProps xmlns="https://web.wps.cn/et/2018/main" chartId="{f992a802-31e8-4b51-9113-4ea60004e930}"/>
      </c:ext>
    </c:extLst>
  </c:chart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57150</xdr:colOff>
      <xdr:row>5</xdr:row>
      <xdr:rowOff>0</xdr:rowOff>
    </xdr:from>
    <xdr:ext cx="4219575" cy="2314575"/>
    <xdr:graphicFrame>
      <xdr:nvGraphicFramePr>
        <xdr:cNvPr id="18183081" name="Chart 1" title="Chart"/>
        <xdr:cNvGraphicFramePr/>
      </xdr:nvGraphicFramePr>
      <xdr:xfrm>
        <a:off x="11229975" y="904875"/>
        <a:ext cx="4219575" cy="2314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id="1" name="Table1" displayName="Table1" ref="A1:I74">
  <tableColumns count="9">
    <tableColumn id="1" name="Employee ID" dataDxfId="0"/>
    <tableColumn id="2" name="Name" dataDxfId="1"/>
    <tableColumn id="3" name="Hourly Wage" dataDxfId="2"/>
    <tableColumn id="4" name="Hours Worked" dataDxfId="3"/>
    <tableColumn id="5" name="Taxable Income" dataDxfId="4"/>
    <tableColumn id="6" name="Taxes to Be Paid" dataDxfId="5"/>
    <tableColumn id="7" name="Tax Rate:" dataDxfId="6"/>
    <tableColumn id="8" name="0.07" dataDxfId="7"/>
    <tableColumn id="9" name="Hello" dataDxfId="8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998"/>
  <sheetViews>
    <sheetView tabSelected="1" topLeftCell="B1" workbookViewId="0">
      <pane ySplit="1" topLeftCell="A2" activePane="bottomLeft" state="frozen"/>
      <selection/>
      <selection pane="bottomLeft" activeCell="C5" sqref="C5"/>
    </sheetView>
  </sheetViews>
  <sheetFormatPr defaultColWidth="14.4285714285714" defaultRowHeight="15" customHeight="1"/>
  <cols>
    <col min="1" max="1" width="20.8571428571429" customWidth="1"/>
    <col min="2" max="2" width="15.1428571428571" customWidth="1"/>
    <col min="3" max="3" width="21.1428571428571" customWidth="1"/>
    <col min="4" max="4" width="22.4285714285714" customWidth="1"/>
    <col min="5" max="5" width="24.4285714285714" customWidth="1"/>
    <col min="6" max="6" width="24.8571428571429" customWidth="1"/>
    <col min="7" max="7" width="17.8571428571429" customWidth="1"/>
    <col min="8" max="8" width="10" customWidth="1"/>
    <col min="9" max="9" width="10.8571428571429" customWidth="1"/>
    <col min="10" max="10" width="8.71428571428571" customWidth="1"/>
    <col min="11" max="11" width="21.8571428571429" customWidth="1"/>
    <col min="12" max="12" width="17.7142857142857" customWidth="1"/>
    <col min="13" max="26" width="8.71428571428571" customWidth="1"/>
  </cols>
  <sheetData>
    <row r="1" ht="14.25" customHeight="1" spans="1:26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 spans="1:7">
      <c r="A2" s="5">
        <v>1</v>
      </c>
      <c r="B2" s="6" t="s">
        <v>9</v>
      </c>
      <c r="C2" s="7">
        <v>14.25</v>
      </c>
      <c r="D2" s="5">
        <v>158</v>
      </c>
      <c r="E2" s="8">
        <f t="shared" ref="E2:E71" si="0">C2*D2</f>
        <v>2251.5</v>
      </c>
      <c r="F2" s="8">
        <f t="shared" ref="F2:F71" si="1">E2*$H$1</f>
        <v>157.605</v>
      </c>
      <c r="G2" s="9">
        <v>10</v>
      </c>
    </row>
    <row r="3" ht="14.25" customHeight="1" spans="1:7">
      <c r="A3" s="5">
        <v>2</v>
      </c>
      <c r="B3" s="6" t="s">
        <v>10</v>
      </c>
      <c r="C3" s="7">
        <v>15.5</v>
      </c>
      <c r="D3" s="5">
        <v>160</v>
      </c>
      <c r="E3" s="8">
        <f t="shared" si="0"/>
        <v>2480</v>
      </c>
      <c r="F3" s="8">
        <f t="shared" si="1"/>
        <v>173.6</v>
      </c>
      <c r="G3" s="9">
        <v>20</v>
      </c>
    </row>
    <row r="4" ht="14.25" customHeight="1" spans="1:7">
      <c r="A4" s="5">
        <v>3</v>
      </c>
      <c r="B4" s="6" t="s">
        <v>11</v>
      </c>
      <c r="C4" s="7">
        <v>16</v>
      </c>
      <c r="D4" s="5">
        <v>125</v>
      </c>
      <c r="E4" s="8">
        <f t="shared" si="0"/>
        <v>2000</v>
      </c>
      <c r="F4" s="8">
        <f t="shared" si="1"/>
        <v>140</v>
      </c>
      <c r="G4" s="9">
        <v>30</v>
      </c>
    </row>
    <row r="5" ht="14.25" customHeight="1" spans="1:12">
      <c r="A5" s="5">
        <v>4</v>
      </c>
      <c r="B5" s="6" t="s">
        <v>12</v>
      </c>
      <c r="C5" s="7">
        <v>13.75</v>
      </c>
      <c r="D5" s="5">
        <v>165</v>
      </c>
      <c r="E5" s="8">
        <f t="shared" si="0"/>
        <v>2268.75</v>
      </c>
      <c r="F5" s="8">
        <f t="shared" si="1"/>
        <v>158.8125</v>
      </c>
      <c r="G5" s="9">
        <v>30</v>
      </c>
      <c r="K5" s="11"/>
      <c r="L5" s="11"/>
    </row>
    <row r="6" ht="14.25" customHeight="1" spans="1:7">
      <c r="A6" s="5">
        <v>5</v>
      </c>
      <c r="B6" s="6" t="s">
        <v>13</v>
      </c>
      <c r="C6" s="7">
        <v>15.5</v>
      </c>
      <c r="D6" s="5">
        <v>144</v>
      </c>
      <c r="E6" s="8">
        <f t="shared" si="0"/>
        <v>2232</v>
      </c>
      <c r="F6" s="8">
        <f t="shared" si="1"/>
        <v>156.24</v>
      </c>
      <c r="G6" s="9">
        <v>30</v>
      </c>
    </row>
    <row r="7" ht="14.25" customHeight="1" spans="1:11">
      <c r="A7" s="5">
        <v>6</v>
      </c>
      <c r="B7" s="6" t="s">
        <v>14</v>
      </c>
      <c r="C7" s="7">
        <v>17</v>
      </c>
      <c r="D7" s="5">
        <v>174</v>
      </c>
      <c r="E7" s="8">
        <f t="shared" si="0"/>
        <v>2958</v>
      </c>
      <c r="F7" s="8">
        <f t="shared" si="1"/>
        <v>207.06</v>
      </c>
      <c r="G7" s="9">
        <v>30</v>
      </c>
      <c r="K7" s="10"/>
    </row>
    <row r="8" ht="14.25" customHeight="1" spans="1:11">
      <c r="A8" s="5">
        <v>7</v>
      </c>
      <c r="B8" s="6" t="s">
        <v>15</v>
      </c>
      <c r="C8" s="7">
        <v>13.75</v>
      </c>
      <c r="D8" s="5">
        <v>161</v>
      </c>
      <c r="E8" s="8">
        <f t="shared" si="0"/>
        <v>2213.75</v>
      </c>
      <c r="F8" s="8">
        <f t="shared" si="1"/>
        <v>154.9625</v>
      </c>
      <c r="G8" s="9">
        <v>30</v>
      </c>
      <c r="K8" s="10"/>
    </row>
    <row r="9" ht="14.25" customHeight="1" spans="1:11">
      <c r="A9" s="5">
        <v>8</v>
      </c>
      <c r="B9" s="6" t="s">
        <v>16</v>
      </c>
      <c r="C9" s="7">
        <v>15.5</v>
      </c>
      <c r="D9" s="5">
        <v>69</v>
      </c>
      <c r="E9" s="8">
        <f t="shared" si="0"/>
        <v>1069.5</v>
      </c>
      <c r="F9" s="8">
        <f t="shared" si="1"/>
        <v>74.865</v>
      </c>
      <c r="G9" s="9">
        <v>30</v>
      </c>
      <c r="K9" s="10"/>
    </row>
    <row r="10" ht="14.25" customHeight="1" spans="1:11">
      <c r="A10" s="5">
        <v>9</v>
      </c>
      <c r="B10" s="6" t="s">
        <v>17</v>
      </c>
      <c r="C10" s="7">
        <v>10.75</v>
      </c>
      <c r="D10" s="5">
        <v>85</v>
      </c>
      <c r="E10" s="8">
        <f t="shared" si="0"/>
        <v>913.75</v>
      </c>
      <c r="F10" s="8">
        <f t="shared" si="1"/>
        <v>63.9625</v>
      </c>
      <c r="G10" s="9">
        <v>30</v>
      </c>
      <c r="K10" s="10"/>
    </row>
    <row r="11" ht="14.25" customHeight="1" spans="1:7">
      <c r="A11" s="5">
        <v>10</v>
      </c>
      <c r="B11" s="6" t="s">
        <v>18</v>
      </c>
      <c r="C11" s="7">
        <v>15.5</v>
      </c>
      <c r="D11" s="5">
        <v>117</v>
      </c>
      <c r="E11" s="8">
        <f t="shared" si="0"/>
        <v>1813.5</v>
      </c>
      <c r="F11" s="8">
        <f t="shared" si="1"/>
        <v>126.945</v>
      </c>
      <c r="G11" s="9">
        <v>30</v>
      </c>
    </row>
    <row r="12" ht="14.25" customHeight="1" spans="1:7">
      <c r="A12" s="5">
        <v>11</v>
      </c>
      <c r="B12" s="6" t="s">
        <v>19</v>
      </c>
      <c r="C12" s="7">
        <v>12</v>
      </c>
      <c r="D12" s="5">
        <v>160</v>
      </c>
      <c r="E12" s="8">
        <f t="shared" si="0"/>
        <v>1920</v>
      </c>
      <c r="F12" s="8">
        <f t="shared" si="1"/>
        <v>134.4</v>
      </c>
      <c r="G12" s="9">
        <v>30</v>
      </c>
    </row>
    <row r="13" ht="14.25" customHeight="1" spans="1:7">
      <c r="A13" s="5">
        <v>12</v>
      </c>
      <c r="B13" s="6" t="s">
        <v>20</v>
      </c>
      <c r="C13" s="7">
        <v>15.5</v>
      </c>
      <c r="D13" s="5">
        <v>152</v>
      </c>
      <c r="E13" s="8">
        <f t="shared" si="0"/>
        <v>2356</v>
      </c>
      <c r="F13" s="8">
        <f t="shared" si="1"/>
        <v>164.92</v>
      </c>
      <c r="G13" s="9">
        <v>30</v>
      </c>
    </row>
    <row r="14" ht="14.25" customHeight="1" spans="1:7">
      <c r="A14" s="5">
        <v>13</v>
      </c>
      <c r="B14" s="6" t="s">
        <v>21</v>
      </c>
      <c r="C14" s="7">
        <v>11.75</v>
      </c>
      <c r="D14" s="5">
        <v>129</v>
      </c>
      <c r="E14" s="8">
        <f t="shared" si="0"/>
        <v>1515.75</v>
      </c>
      <c r="F14" s="8">
        <f t="shared" si="1"/>
        <v>106.1025</v>
      </c>
      <c r="G14" s="9">
        <v>30</v>
      </c>
    </row>
    <row r="15" ht="14.25" customHeight="1" spans="1:7">
      <c r="A15" s="5">
        <v>14</v>
      </c>
      <c r="B15" s="6" t="s">
        <v>22</v>
      </c>
      <c r="C15" s="7">
        <v>12</v>
      </c>
      <c r="D15" s="5">
        <v>74</v>
      </c>
      <c r="E15" s="8">
        <f t="shared" si="0"/>
        <v>888</v>
      </c>
      <c r="F15" s="8">
        <f t="shared" si="1"/>
        <v>62.16</v>
      </c>
      <c r="G15" s="9">
        <v>30</v>
      </c>
    </row>
    <row r="16" ht="14.25" customHeight="1" spans="1:7">
      <c r="A16" s="5">
        <v>15</v>
      </c>
      <c r="B16" s="6" t="s">
        <v>23</v>
      </c>
      <c r="C16" s="7">
        <v>19</v>
      </c>
      <c r="D16" s="5">
        <v>111</v>
      </c>
      <c r="E16" s="8">
        <f t="shared" si="0"/>
        <v>2109</v>
      </c>
      <c r="F16" s="8">
        <f t="shared" si="1"/>
        <v>147.63</v>
      </c>
      <c r="G16" s="9">
        <v>30</v>
      </c>
    </row>
    <row r="17" ht="14.25" customHeight="1" spans="1:7">
      <c r="A17" s="5">
        <v>16</v>
      </c>
      <c r="B17" s="6" t="s">
        <v>24</v>
      </c>
      <c r="C17" s="7">
        <v>17</v>
      </c>
      <c r="D17" s="5">
        <v>132</v>
      </c>
      <c r="E17" s="8">
        <f t="shared" si="0"/>
        <v>2244</v>
      </c>
      <c r="F17" s="8">
        <f t="shared" si="1"/>
        <v>157.08</v>
      </c>
      <c r="G17" s="9">
        <v>30</v>
      </c>
    </row>
    <row r="18" ht="14.25" customHeight="1" spans="1:7">
      <c r="A18" s="5">
        <v>17</v>
      </c>
      <c r="B18" s="6" t="s">
        <v>25</v>
      </c>
      <c r="C18" s="7">
        <v>19</v>
      </c>
      <c r="D18" s="5">
        <v>168</v>
      </c>
      <c r="E18" s="8">
        <f t="shared" si="0"/>
        <v>3192</v>
      </c>
      <c r="F18" s="8">
        <f t="shared" si="1"/>
        <v>223.44</v>
      </c>
      <c r="G18" s="9">
        <v>30</v>
      </c>
    </row>
    <row r="19" ht="14.25" customHeight="1" spans="1:7">
      <c r="A19" s="5">
        <v>18</v>
      </c>
      <c r="B19" s="6" t="s">
        <v>26</v>
      </c>
      <c r="C19" s="7">
        <v>16</v>
      </c>
      <c r="D19" s="5">
        <v>187</v>
      </c>
      <c r="E19" s="8">
        <f t="shared" si="0"/>
        <v>2992</v>
      </c>
      <c r="F19" s="8">
        <f t="shared" si="1"/>
        <v>209.44</v>
      </c>
      <c r="G19" s="9">
        <v>30</v>
      </c>
    </row>
    <row r="20" ht="14.25" customHeight="1" spans="1:7">
      <c r="A20" s="5">
        <v>19</v>
      </c>
      <c r="B20" s="6" t="s">
        <v>27</v>
      </c>
      <c r="C20" s="7">
        <v>18</v>
      </c>
      <c r="D20" s="5">
        <v>70</v>
      </c>
      <c r="E20" s="8">
        <f t="shared" si="0"/>
        <v>1260</v>
      </c>
      <c r="F20" s="8">
        <f t="shared" si="1"/>
        <v>88.2</v>
      </c>
      <c r="G20" s="9">
        <v>30</v>
      </c>
    </row>
    <row r="21" ht="14.25" customHeight="1" spans="1:7">
      <c r="A21" s="5">
        <v>20</v>
      </c>
      <c r="B21" s="6" t="s">
        <v>28</v>
      </c>
      <c r="C21" s="7">
        <v>16.5</v>
      </c>
      <c r="D21" s="5">
        <v>138</v>
      </c>
      <c r="E21" s="8">
        <f t="shared" si="0"/>
        <v>2277</v>
      </c>
      <c r="F21" s="8">
        <f t="shared" si="1"/>
        <v>159.39</v>
      </c>
      <c r="G21" s="9">
        <v>30</v>
      </c>
    </row>
    <row r="22" ht="14.25" customHeight="1" spans="1:7">
      <c r="A22" s="5">
        <v>21</v>
      </c>
      <c r="B22" s="6" t="s">
        <v>29</v>
      </c>
      <c r="C22" s="7">
        <v>13</v>
      </c>
      <c r="D22" s="5">
        <v>72</v>
      </c>
      <c r="E22" s="8">
        <f t="shared" si="0"/>
        <v>936</v>
      </c>
      <c r="F22" s="8">
        <f t="shared" si="1"/>
        <v>65.52</v>
      </c>
      <c r="G22" s="9">
        <v>30</v>
      </c>
    </row>
    <row r="23" ht="14.25" customHeight="1" spans="1:7">
      <c r="A23" s="5">
        <v>22</v>
      </c>
      <c r="B23" s="6" t="s">
        <v>30</v>
      </c>
      <c r="C23" s="7">
        <v>12</v>
      </c>
      <c r="D23" s="5">
        <v>130</v>
      </c>
      <c r="E23" s="8">
        <f t="shared" si="0"/>
        <v>1560</v>
      </c>
      <c r="F23" s="8">
        <f t="shared" si="1"/>
        <v>109.2</v>
      </c>
      <c r="G23" s="9">
        <v>30</v>
      </c>
    </row>
    <row r="24" ht="14.25" customHeight="1" spans="1:7">
      <c r="A24" s="5">
        <v>23</v>
      </c>
      <c r="B24" s="6" t="s">
        <v>31</v>
      </c>
      <c r="C24" s="7">
        <v>18</v>
      </c>
      <c r="D24" s="5">
        <v>208</v>
      </c>
      <c r="E24" s="8">
        <f t="shared" si="0"/>
        <v>3744</v>
      </c>
      <c r="F24" s="8">
        <f t="shared" si="1"/>
        <v>262.08</v>
      </c>
      <c r="G24" s="9">
        <v>30</v>
      </c>
    </row>
    <row r="25" ht="14.25" customHeight="1" spans="1:7">
      <c r="A25" s="5">
        <v>24</v>
      </c>
      <c r="B25" s="6" t="s">
        <v>32</v>
      </c>
      <c r="C25" s="7">
        <v>22</v>
      </c>
      <c r="D25" s="5">
        <v>97</v>
      </c>
      <c r="E25" s="8">
        <f t="shared" si="0"/>
        <v>2134</v>
      </c>
      <c r="F25" s="8">
        <f t="shared" si="1"/>
        <v>149.38</v>
      </c>
      <c r="G25" s="9">
        <v>30</v>
      </c>
    </row>
    <row r="26" ht="14.25" customHeight="1" spans="1:7">
      <c r="A26" s="5">
        <v>25</v>
      </c>
      <c r="B26" s="6" t="s">
        <v>33</v>
      </c>
      <c r="C26" s="7">
        <v>32</v>
      </c>
      <c r="D26" s="5">
        <v>199</v>
      </c>
      <c r="E26" s="8">
        <f t="shared" si="0"/>
        <v>6368</v>
      </c>
      <c r="F26" s="8">
        <f t="shared" si="1"/>
        <v>445.76</v>
      </c>
      <c r="G26" s="9">
        <v>30</v>
      </c>
    </row>
    <row r="27" ht="14.25" customHeight="1" spans="1:7">
      <c r="A27" s="5">
        <v>26</v>
      </c>
      <c r="B27" s="6" t="s">
        <v>30</v>
      </c>
      <c r="C27" s="7">
        <v>11</v>
      </c>
      <c r="D27" s="5">
        <v>160</v>
      </c>
      <c r="E27" s="8">
        <f t="shared" si="0"/>
        <v>1760</v>
      </c>
      <c r="F27" s="8">
        <f t="shared" si="1"/>
        <v>123.2</v>
      </c>
      <c r="G27" s="9">
        <v>30</v>
      </c>
    </row>
    <row r="28" ht="14.25" customHeight="1" spans="1:7">
      <c r="A28" s="5">
        <v>27</v>
      </c>
      <c r="B28" s="6" t="s">
        <v>34</v>
      </c>
      <c r="C28" s="7">
        <v>14</v>
      </c>
      <c r="D28" s="5">
        <v>156</v>
      </c>
      <c r="E28" s="8">
        <f t="shared" si="0"/>
        <v>2184</v>
      </c>
      <c r="F28" s="8">
        <f t="shared" si="1"/>
        <v>152.88</v>
      </c>
      <c r="G28" s="9">
        <v>30</v>
      </c>
    </row>
    <row r="29" ht="14.25" customHeight="1" spans="1:7">
      <c r="A29" s="5">
        <v>28</v>
      </c>
      <c r="B29" s="6" t="s">
        <v>35</v>
      </c>
      <c r="C29" s="7">
        <v>15.5</v>
      </c>
      <c r="D29" s="5">
        <v>117</v>
      </c>
      <c r="E29" s="8">
        <f t="shared" si="0"/>
        <v>1813.5</v>
      </c>
      <c r="F29" s="8">
        <f t="shared" si="1"/>
        <v>126.945</v>
      </c>
      <c r="G29" s="9">
        <v>30</v>
      </c>
    </row>
    <row r="30" ht="14.25" customHeight="1" spans="1:7">
      <c r="A30" s="5">
        <v>29</v>
      </c>
      <c r="B30" s="6" t="s">
        <v>36</v>
      </c>
      <c r="C30" s="7">
        <v>15</v>
      </c>
      <c r="D30" s="5">
        <v>76</v>
      </c>
      <c r="E30" s="8">
        <f t="shared" si="0"/>
        <v>1140</v>
      </c>
      <c r="F30" s="8">
        <f t="shared" si="1"/>
        <v>79.8</v>
      </c>
      <c r="G30" s="9">
        <v>30</v>
      </c>
    </row>
    <row r="31" ht="14.25" customHeight="1" spans="1:7">
      <c r="A31" s="5">
        <v>30</v>
      </c>
      <c r="B31" s="6" t="s">
        <v>37</v>
      </c>
      <c r="C31" s="7">
        <v>12</v>
      </c>
      <c r="D31" s="5">
        <v>175</v>
      </c>
      <c r="E31" s="8">
        <f t="shared" si="0"/>
        <v>2100</v>
      </c>
      <c r="F31" s="8">
        <f t="shared" si="1"/>
        <v>147</v>
      </c>
      <c r="G31" s="9">
        <v>30</v>
      </c>
    </row>
    <row r="32" ht="14.25" customHeight="1" spans="1:7">
      <c r="A32" s="5">
        <v>31</v>
      </c>
      <c r="B32" s="6" t="s">
        <v>38</v>
      </c>
      <c r="C32" s="7">
        <v>15.5</v>
      </c>
      <c r="D32" s="5">
        <v>87</v>
      </c>
      <c r="E32" s="8">
        <f t="shared" si="0"/>
        <v>1348.5</v>
      </c>
      <c r="F32" s="8">
        <f t="shared" si="1"/>
        <v>94.395</v>
      </c>
      <c r="G32" s="9">
        <v>30</v>
      </c>
    </row>
    <row r="33" ht="14.25" customHeight="1" spans="1:7">
      <c r="A33" s="5">
        <v>32</v>
      </c>
      <c r="B33" s="6" t="s">
        <v>39</v>
      </c>
      <c r="C33" s="7">
        <v>11.75</v>
      </c>
      <c r="D33" s="5">
        <v>130</v>
      </c>
      <c r="E33" s="8">
        <f t="shared" si="0"/>
        <v>1527.5</v>
      </c>
      <c r="F33" s="8">
        <f t="shared" si="1"/>
        <v>106.925</v>
      </c>
      <c r="G33" s="9">
        <v>30</v>
      </c>
    </row>
    <row r="34" ht="14.25" customHeight="1" spans="1:7">
      <c r="A34" s="5">
        <v>33</v>
      </c>
      <c r="B34" s="6" t="s">
        <v>40</v>
      </c>
      <c r="C34" s="7">
        <v>12</v>
      </c>
      <c r="D34" s="5">
        <v>185</v>
      </c>
      <c r="E34" s="8">
        <f t="shared" si="0"/>
        <v>2220</v>
      </c>
      <c r="F34" s="8">
        <f t="shared" si="1"/>
        <v>155.4</v>
      </c>
      <c r="G34" s="9">
        <v>30</v>
      </c>
    </row>
    <row r="35" ht="14.25" customHeight="1" spans="1:7">
      <c r="A35" s="5">
        <v>34</v>
      </c>
      <c r="B35" s="6" t="s">
        <v>41</v>
      </c>
      <c r="C35" s="7">
        <v>19</v>
      </c>
      <c r="D35" s="5">
        <v>152</v>
      </c>
      <c r="E35" s="8">
        <f t="shared" si="0"/>
        <v>2888</v>
      </c>
      <c r="F35" s="8">
        <f t="shared" si="1"/>
        <v>202.16</v>
      </c>
      <c r="G35" s="9">
        <v>30</v>
      </c>
    </row>
    <row r="36" ht="14.25" customHeight="1" spans="1:7">
      <c r="A36" s="5">
        <v>35</v>
      </c>
      <c r="B36" s="6" t="s">
        <v>42</v>
      </c>
      <c r="C36" s="7">
        <v>17</v>
      </c>
      <c r="D36" s="5">
        <v>186</v>
      </c>
      <c r="E36" s="8">
        <f t="shared" si="0"/>
        <v>3162</v>
      </c>
      <c r="F36" s="8">
        <f t="shared" si="1"/>
        <v>221.34</v>
      </c>
      <c r="G36" s="9">
        <v>30</v>
      </c>
    </row>
    <row r="37" ht="14.25" customHeight="1" spans="1:7">
      <c r="A37" s="5">
        <v>36</v>
      </c>
      <c r="B37" s="6" t="s">
        <v>43</v>
      </c>
      <c r="C37" s="7">
        <v>19</v>
      </c>
      <c r="D37" s="5">
        <v>96</v>
      </c>
      <c r="E37" s="8">
        <f t="shared" si="0"/>
        <v>1824</v>
      </c>
      <c r="F37" s="8">
        <f t="shared" si="1"/>
        <v>127.68</v>
      </c>
      <c r="G37" s="9">
        <v>30</v>
      </c>
    </row>
    <row r="38" ht="14.25" customHeight="1" spans="1:7">
      <c r="A38" s="5">
        <v>37</v>
      </c>
      <c r="B38" s="6" t="s">
        <v>44</v>
      </c>
      <c r="C38" s="7">
        <v>16</v>
      </c>
      <c r="D38" s="5">
        <v>100</v>
      </c>
      <c r="E38" s="8">
        <f t="shared" si="0"/>
        <v>1600</v>
      </c>
      <c r="F38" s="8">
        <f t="shared" si="1"/>
        <v>112</v>
      </c>
      <c r="G38" s="9">
        <v>30</v>
      </c>
    </row>
    <row r="39" ht="14.25" customHeight="1" spans="1:7">
      <c r="A39" s="5">
        <v>38</v>
      </c>
      <c r="B39" s="6" t="s">
        <v>45</v>
      </c>
      <c r="C39" s="7">
        <v>18</v>
      </c>
      <c r="D39" s="5">
        <v>124</v>
      </c>
      <c r="E39" s="8">
        <f t="shared" si="0"/>
        <v>2232</v>
      </c>
      <c r="F39" s="8">
        <f t="shared" si="1"/>
        <v>156.24</v>
      </c>
      <c r="G39" s="9">
        <v>30</v>
      </c>
    </row>
    <row r="40" ht="14.25" customHeight="1" spans="1:7">
      <c r="A40" s="5">
        <v>39</v>
      </c>
      <c r="B40" s="6" t="s">
        <v>46</v>
      </c>
      <c r="C40" s="7">
        <v>15.5</v>
      </c>
      <c r="D40" s="5">
        <v>71</v>
      </c>
      <c r="E40" s="8">
        <f t="shared" si="0"/>
        <v>1100.5</v>
      </c>
      <c r="F40" s="8">
        <f t="shared" si="1"/>
        <v>77.035</v>
      </c>
      <c r="G40" s="9">
        <v>30</v>
      </c>
    </row>
    <row r="41" ht="14.25" customHeight="1" spans="1:7">
      <c r="A41" s="5">
        <v>40</v>
      </c>
      <c r="B41" s="6" t="s">
        <v>47</v>
      </c>
      <c r="C41" s="7">
        <v>14</v>
      </c>
      <c r="D41" s="5">
        <v>83</v>
      </c>
      <c r="E41" s="8">
        <f t="shared" si="0"/>
        <v>1162</v>
      </c>
      <c r="F41" s="8">
        <f t="shared" si="1"/>
        <v>81.34</v>
      </c>
      <c r="G41" s="9">
        <v>30</v>
      </c>
    </row>
    <row r="42" ht="14.25" customHeight="1" spans="1:7">
      <c r="A42" s="5">
        <v>41</v>
      </c>
      <c r="B42" s="6" t="s">
        <v>48</v>
      </c>
      <c r="C42" s="7">
        <v>12</v>
      </c>
      <c r="D42" s="5">
        <v>168</v>
      </c>
      <c r="E42" s="8">
        <f t="shared" si="0"/>
        <v>2016</v>
      </c>
      <c r="F42" s="8">
        <f t="shared" si="1"/>
        <v>141.12</v>
      </c>
      <c r="G42" s="9">
        <v>30</v>
      </c>
    </row>
    <row r="43" ht="14.25" customHeight="1" spans="1:7">
      <c r="A43" s="5">
        <v>42</v>
      </c>
      <c r="B43" s="6" t="s">
        <v>49</v>
      </c>
      <c r="C43" s="7">
        <v>11</v>
      </c>
      <c r="D43" s="5">
        <v>165</v>
      </c>
      <c r="E43" s="8">
        <f t="shared" si="0"/>
        <v>1815</v>
      </c>
      <c r="F43" s="8">
        <f t="shared" si="1"/>
        <v>127.05</v>
      </c>
      <c r="G43" s="9">
        <v>30</v>
      </c>
    </row>
    <row r="44" ht="14.25" customHeight="1" spans="1:7">
      <c r="A44" s="5">
        <v>43</v>
      </c>
      <c r="B44" s="6" t="s">
        <v>50</v>
      </c>
      <c r="C44" s="7">
        <v>12</v>
      </c>
      <c r="D44" s="5">
        <v>145</v>
      </c>
      <c r="E44" s="8">
        <f t="shared" si="0"/>
        <v>1740</v>
      </c>
      <c r="F44" s="8">
        <f t="shared" si="1"/>
        <v>121.8</v>
      </c>
      <c r="G44" s="9">
        <v>30</v>
      </c>
    </row>
    <row r="45" ht="14.25" customHeight="1" spans="1:7">
      <c r="A45" s="5">
        <v>44</v>
      </c>
      <c r="B45" s="6" t="s">
        <v>51</v>
      </c>
      <c r="C45" s="7">
        <v>15.5</v>
      </c>
      <c r="D45" s="5">
        <v>133</v>
      </c>
      <c r="E45" s="8">
        <f t="shared" si="0"/>
        <v>2061.5</v>
      </c>
      <c r="F45" s="8">
        <f t="shared" si="1"/>
        <v>144.305</v>
      </c>
      <c r="G45" s="9">
        <v>30</v>
      </c>
    </row>
    <row r="46" ht="14.25" customHeight="1" spans="1:7">
      <c r="A46" s="5">
        <v>45</v>
      </c>
      <c r="B46" s="6" t="s">
        <v>52</v>
      </c>
      <c r="C46" s="7">
        <v>11.75</v>
      </c>
      <c r="D46" s="5">
        <v>92</v>
      </c>
      <c r="E46" s="8">
        <f t="shared" si="0"/>
        <v>1081</v>
      </c>
      <c r="F46" s="8">
        <f t="shared" si="1"/>
        <v>75.67</v>
      </c>
      <c r="G46" s="9">
        <v>30</v>
      </c>
    </row>
    <row r="47" ht="14.25" customHeight="1" spans="1:7">
      <c r="A47" s="5">
        <v>46</v>
      </c>
      <c r="B47" s="6" t="s">
        <v>53</v>
      </c>
      <c r="C47" s="7">
        <v>12</v>
      </c>
      <c r="D47" s="5">
        <v>74</v>
      </c>
      <c r="E47" s="8">
        <f t="shared" si="0"/>
        <v>888</v>
      </c>
      <c r="F47" s="8">
        <f t="shared" si="1"/>
        <v>62.16</v>
      </c>
      <c r="G47" s="9">
        <v>30</v>
      </c>
    </row>
    <row r="48" ht="14.25" customHeight="1" spans="1:7">
      <c r="A48" s="5">
        <v>47</v>
      </c>
      <c r="B48" s="6" t="s">
        <v>54</v>
      </c>
      <c r="C48" s="7">
        <v>19</v>
      </c>
      <c r="D48" s="5">
        <v>201</v>
      </c>
      <c r="E48" s="8">
        <f t="shared" si="0"/>
        <v>3819</v>
      </c>
      <c r="F48" s="8">
        <f t="shared" si="1"/>
        <v>267.33</v>
      </c>
      <c r="G48" s="9">
        <v>30</v>
      </c>
    </row>
    <row r="49" ht="14.25" customHeight="1" spans="1:7">
      <c r="A49" s="5">
        <v>48</v>
      </c>
      <c r="B49" s="6" t="s">
        <v>55</v>
      </c>
      <c r="C49" s="7">
        <v>17</v>
      </c>
      <c r="D49" s="5">
        <v>112</v>
      </c>
      <c r="E49" s="8">
        <f t="shared" si="0"/>
        <v>1904</v>
      </c>
      <c r="F49" s="8">
        <f t="shared" si="1"/>
        <v>133.28</v>
      </c>
      <c r="G49" s="9">
        <v>30</v>
      </c>
    </row>
    <row r="50" ht="14.25" customHeight="1" spans="1:7">
      <c r="A50" s="5">
        <v>49</v>
      </c>
      <c r="B50" s="6" t="s">
        <v>56</v>
      </c>
      <c r="C50" s="7">
        <v>19</v>
      </c>
      <c r="D50" s="5">
        <v>166</v>
      </c>
      <c r="E50" s="8">
        <f t="shared" si="0"/>
        <v>3154</v>
      </c>
      <c r="F50" s="8">
        <f t="shared" si="1"/>
        <v>220.78</v>
      </c>
      <c r="G50" s="9">
        <v>30</v>
      </c>
    </row>
    <row r="51" ht="14.25" customHeight="1" spans="1:7">
      <c r="A51" s="5">
        <v>50</v>
      </c>
      <c r="B51" s="6" t="s">
        <v>57</v>
      </c>
      <c r="C51" s="7">
        <v>16</v>
      </c>
      <c r="D51" s="5">
        <v>160</v>
      </c>
      <c r="E51" s="8">
        <f t="shared" si="0"/>
        <v>2560</v>
      </c>
      <c r="F51" s="8">
        <f t="shared" si="1"/>
        <v>179.2</v>
      </c>
      <c r="G51" s="9">
        <v>30</v>
      </c>
    </row>
    <row r="52" ht="14.25" customHeight="1" spans="1:7">
      <c r="A52" s="5">
        <v>51</v>
      </c>
      <c r="B52" s="6" t="s">
        <v>58</v>
      </c>
      <c r="C52" s="7">
        <v>18</v>
      </c>
      <c r="D52" s="5">
        <v>117</v>
      </c>
      <c r="E52" s="8">
        <f t="shared" si="0"/>
        <v>2106</v>
      </c>
      <c r="F52" s="8">
        <f t="shared" si="1"/>
        <v>147.42</v>
      </c>
      <c r="G52" s="9">
        <v>30</v>
      </c>
    </row>
    <row r="53" ht="14.25" customHeight="1" spans="1:7">
      <c r="A53" s="5">
        <v>52</v>
      </c>
      <c r="B53" s="6" t="s">
        <v>59</v>
      </c>
      <c r="C53" s="7">
        <v>11.5</v>
      </c>
      <c r="D53" s="5">
        <v>152</v>
      </c>
      <c r="E53" s="8">
        <f t="shared" si="0"/>
        <v>1748</v>
      </c>
      <c r="F53" s="8">
        <f t="shared" si="1"/>
        <v>122.36</v>
      </c>
      <c r="G53" s="9">
        <v>30</v>
      </c>
    </row>
    <row r="54" ht="14.25" customHeight="1" spans="1:7">
      <c r="A54" s="5">
        <v>53</v>
      </c>
      <c r="B54" s="6" t="s">
        <v>60</v>
      </c>
      <c r="C54" s="7">
        <v>15.5</v>
      </c>
      <c r="D54" s="5">
        <v>129</v>
      </c>
      <c r="E54" s="8">
        <f t="shared" si="0"/>
        <v>1999.5</v>
      </c>
      <c r="F54" s="8">
        <f t="shared" si="1"/>
        <v>139.965</v>
      </c>
      <c r="G54" s="9">
        <v>30</v>
      </c>
    </row>
    <row r="55" ht="14.25" customHeight="1" spans="1:7">
      <c r="A55" s="5">
        <v>54</v>
      </c>
      <c r="B55" s="6" t="s">
        <v>61</v>
      </c>
      <c r="C55" s="7">
        <v>15.5</v>
      </c>
      <c r="D55" s="5">
        <v>74</v>
      </c>
      <c r="E55" s="8">
        <f t="shared" si="0"/>
        <v>1147</v>
      </c>
      <c r="F55" s="8">
        <f t="shared" si="1"/>
        <v>80.29</v>
      </c>
      <c r="G55" s="9">
        <v>30</v>
      </c>
    </row>
    <row r="56" ht="14.25" customHeight="1" spans="1:7">
      <c r="A56" s="5">
        <v>55</v>
      </c>
      <c r="B56" s="6" t="s">
        <v>62</v>
      </c>
      <c r="C56" s="7">
        <v>12</v>
      </c>
      <c r="D56" s="5">
        <v>111</v>
      </c>
      <c r="E56" s="8">
        <f t="shared" si="0"/>
        <v>1332</v>
      </c>
      <c r="F56" s="8">
        <f t="shared" si="1"/>
        <v>93.24</v>
      </c>
      <c r="G56" s="9">
        <v>30</v>
      </c>
    </row>
    <row r="57" ht="14.25" customHeight="1" spans="1:7">
      <c r="A57" s="5">
        <v>56</v>
      </c>
      <c r="B57" s="6" t="s">
        <v>63</v>
      </c>
      <c r="C57" s="7">
        <v>15.5</v>
      </c>
      <c r="D57" s="5">
        <v>132</v>
      </c>
      <c r="E57" s="8">
        <f t="shared" si="0"/>
        <v>2046</v>
      </c>
      <c r="F57" s="8">
        <f t="shared" si="1"/>
        <v>143.22</v>
      </c>
      <c r="G57" s="9">
        <v>30</v>
      </c>
    </row>
    <row r="58" ht="14.25" customHeight="1" spans="1:7">
      <c r="A58" s="5">
        <v>57</v>
      </c>
      <c r="B58" s="6" t="s">
        <v>64</v>
      </c>
      <c r="C58" s="7">
        <v>11.75</v>
      </c>
      <c r="D58" s="5">
        <v>168</v>
      </c>
      <c r="E58" s="8">
        <f t="shared" si="0"/>
        <v>1974</v>
      </c>
      <c r="F58" s="8">
        <f t="shared" si="1"/>
        <v>138.18</v>
      </c>
      <c r="G58" s="9">
        <v>30</v>
      </c>
    </row>
    <row r="59" ht="14.25" customHeight="1" spans="1:7">
      <c r="A59" s="5">
        <v>58</v>
      </c>
      <c r="B59" s="6" t="s">
        <v>65</v>
      </c>
      <c r="C59" s="7">
        <v>12</v>
      </c>
      <c r="D59" s="5">
        <v>187</v>
      </c>
      <c r="E59" s="8">
        <f t="shared" si="0"/>
        <v>2244</v>
      </c>
      <c r="F59" s="8">
        <f t="shared" si="1"/>
        <v>157.08</v>
      </c>
      <c r="G59" s="9">
        <v>30</v>
      </c>
    </row>
    <row r="60" ht="14.25" customHeight="1" spans="1:7">
      <c r="A60" s="5">
        <v>59</v>
      </c>
      <c r="B60" s="6" t="s">
        <v>66</v>
      </c>
      <c r="C60" s="7">
        <v>19</v>
      </c>
      <c r="D60" s="5">
        <v>70</v>
      </c>
      <c r="E60" s="8">
        <f t="shared" si="0"/>
        <v>1330</v>
      </c>
      <c r="F60" s="8">
        <f t="shared" si="1"/>
        <v>93.1</v>
      </c>
      <c r="G60" s="9">
        <v>30</v>
      </c>
    </row>
    <row r="61" ht="14.25" customHeight="1" spans="1:7">
      <c r="A61" s="5">
        <v>60</v>
      </c>
      <c r="B61" s="6" t="s">
        <v>67</v>
      </c>
      <c r="C61" s="7">
        <v>17</v>
      </c>
      <c r="D61" s="5">
        <v>138</v>
      </c>
      <c r="E61" s="8">
        <f t="shared" si="0"/>
        <v>2346</v>
      </c>
      <c r="F61" s="8">
        <f t="shared" si="1"/>
        <v>164.22</v>
      </c>
      <c r="G61" s="9">
        <v>30</v>
      </c>
    </row>
    <row r="62" ht="14.25" customHeight="1" spans="1:7">
      <c r="A62" s="5">
        <v>61</v>
      </c>
      <c r="B62" s="6" t="s">
        <v>68</v>
      </c>
      <c r="C62" s="7">
        <v>19</v>
      </c>
      <c r="D62" s="5">
        <v>72</v>
      </c>
      <c r="E62" s="8">
        <f t="shared" si="0"/>
        <v>1368</v>
      </c>
      <c r="F62" s="8">
        <f t="shared" si="1"/>
        <v>95.76</v>
      </c>
      <c r="G62" s="9">
        <v>30</v>
      </c>
    </row>
    <row r="63" ht="14.25" customHeight="1" spans="1:7">
      <c r="A63" s="5">
        <v>62</v>
      </c>
      <c r="B63" s="6" t="s">
        <v>69</v>
      </c>
      <c r="C63" s="7">
        <v>16</v>
      </c>
      <c r="D63" s="5">
        <v>130</v>
      </c>
      <c r="E63" s="8">
        <f t="shared" si="0"/>
        <v>2080</v>
      </c>
      <c r="F63" s="8">
        <f t="shared" si="1"/>
        <v>145.6</v>
      </c>
      <c r="G63" s="9">
        <v>30</v>
      </c>
    </row>
    <row r="64" ht="14.25" customHeight="1" spans="1:7">
      <c r="A64" s="5">
        <v>63</v>
      </c>
      <c r="B64" s="6" t="s">
        <v>70</v>
      </c>
      <c r="C64" s="7">
        <v>18</v>
      </c>
      <c r="D64" s="5">
        <v>208</v>
      </c>
      <c r="E64" s="8">
        <f t="shared" si="0"/>
        <v>3744</v>
      </c>
      <c r="F64" s="8">
        <f t="shared" si="1"/>
        <v>262.08</v>
      </c>
      <c r="G64" s="9">
        <v>30</v>
      </c>
    </row>
    <row r="65" ht="14.25" customHeight="1" spans="1:7">
      <c r="A65" s="5">
        <v>64</v>
      </c>
      <c r="B65" s="6" t="s">
        <v>71</v>
      </c>
      <c r="C65" s="7">
        <v>11</v>
      </c>
      <c r="D65" s="5">
        <v>97</v>
      </c>
      <c r="E65" s="8">
        <f t="shared" si="0"/>
        <v>1067</v>
      </c>
      <c r="F65" s="8">
        <f t="shared" si="1"/>
        <v>74.69</v>
      </c>
      <c r="G65" s="9">
        <v>30</v>
      </c>
    </row>
    <row r="66" ht="14.25" customHeight="1" spans="1:7">
      <c r="A66" s="5">
        <v>65</v>
      </c>
      <c r="B66" s="6" t="s">
        <v>72</v>
      </c>
      <c r="C66" s="7">
        <v>15.5</v>
      </c>
      <c r="D66" s="5">
        <v>199</v>
      </c>
      <c r="E66" s="8">
        <f t="shared" si="0"/>
        <v>3084.5</v>
      </c>
      <c r="F66" s="8">
        <f t="shared" si="1"/>
        <v>215.915</v>
      </c>
      <c r="G66" s="9">
        <v>30</v>
      </c>
    </row>
    <row r="67" ht="14.25" customHeight="1" spans="1:7">
      <c r="A67" s="5">
        <v>66</v>
      </c>
      <c r="B67" s="6" t="s">
        <v>73</v>
      </c>
      <c r="C67" s="7">
        <v>11</v>
      </c>
      <c r="D67" s="5">
        <v>160</v>
      </c>
      <c r="E67" s="8">
        <f t="shared" si="0"/>
        <v>1760</v>
      </c>
      <c r="F67" s="8">
        <f t="shared" si="1"/>
        <v>123.2</v>
      </c>
      <c r="G67" s="9">
        <v>30</v>
      </c>
    </row>
    <row r="68" ht="14.25" customHeight="1" spans="1:7">
      <c r="A68" s="5">
        <v>67</v>
      </c>
      <c r="B68" s="6" t="s">
        <v>74</v>
      </c>
      <c r="C68" s="7">
        <v>12</v>
      </c>
      <c r="D68" s="5">
        <v>156</v>
      </c>
      <c r="E68" s="8">
        <f t="shared" si="0"/>
        <v>1872</v>
      </c>
      <c r="F68" s="8">
        <f t="shared" si="1"/>
        <v>131.04</v>
      </c>
      <c r="G68" s="9">
        <v>30</v>
      </c>
    </row>
    <row r="69" ht="14.25" customHeight="1" spans="1:7">
      <c r="A69" s="5">
        <v>68</v>
      </c>
      <c r="B69" s="6" t="s">
        <v>75</v>
      </c>
      <c r="C69" s="7">
        <v>15.5</v>
      </c>
      <c r="D69" s="5">
        <v>117</v>
      </c>
      <c r="E69" s="8">
        <f t="shared" si="0"/>
        <v>1813.5</v>
      </c>
      <c r="F69" s="8">
        <f t="shared" si="1"/>
        <v>126.945</v>
      </c>
      <c r="G69" s="9">
        <v>30</v>
      </c>
    </row>
    <row r="70" ht="14.25" customHeight="1" spans="1:7">
      <c r="A70" s="5">
        <v>69</v>
      </c>
      <c r="B70" s="6" t="s">
        <v>76</v>
      </c>
      <c r="C70" s="7">
        <v>11</v>
      </c>
      <c r="D70" s="5">
        <v>76</v>
      </c>
      <c r="E70" s="8">
        <f t="shared" si="0"/>
        <v>836</v>
      </c>
      <c r="F70" s="8">
        <f t="shared" si="1"/>
        <v>58.52</v>
      </c>
      <c r="G70" s="9">
        <v>30</v>
      </c>
    </row>
    <row r="71" ht="14.25" customHeight="1" spans="1:7">
      <c r="A71" s="5">
        <v>70</v>
      </c>
      <c r="B71" s="6" t="s">
        <v>77</v>
      </c>
      <c r="C71" s="7">
        <v>12</v>
      </c>
      <c r="D71" s="5">
        <v>175</v>
      </c>
      <c r="E71" s="8">
        <f t="shared" si="0"/>
        <v>2100</v>
      </c>
      <c r="F71" s="8">
        <f t="shared" si="1"/>
        <v>147</v>
      </c>
      <c r="G71" s="8">
        <f>F71*$H$1</f>
        <v>10.29</v>
      </c>
    </row>
    <row r="72" ht="14.25" customHeight="1" spans="1:7">
      <c r="A72" s="12"/>
      <c r="B72" s="6"/>
      <c r="C72" s="13" t="s">
        <v>78</v>
      </c>
      <c r="D72" s="5">
        <f t="shared" ref="D72:E72" si="2">SUM(D2:D71)</f>
        <v>9367</v>
      </c>
      <c r="E72" s="8">
        <f t="shared" si="2"/>
        <v>142794.5</v>
      </c>
      <c r="F72" s="8">
        <f>SUM(TaxesOwed)</f>
        <v>9995.615</v>
      </c>
      <c r="G72" s="8">
        <f>SUM(TaxesOwed)</f>
        <v>9995.615</v>
      </c>
    </row>
    <row r="73" ht="14.25" customHeight="1" spans="1:7">
      <c r="A73" s="12"/>
      <c r="B73" s="6"/>
      <c r="C73" s="13" t="s">
        <v>79</v>
      </c>
      <c r="D73" s="5">
        <f t="shared" ref="D73:E73" si="3">AVERAGE(D2:D71)</f>
        <v>133.814285714286</v>
      </c>
      <c r="E73" s="8">
        <f t="shared" si="3"/>
        <v>2039.92142857143</v>
      </c>
      <c r="F73" s="8">
        <f>AVERAGE(TaxesOwed)</f>
        <v>142.7945</v>
      </c>
      <c r="G73" s="8">
        <f>AVERAGE(TaxesOwed)</f>
        <v>142.7945</v>
      </c>
    </row>
    <row r="74" ht="14.25" customHeight="1" spans="1:7">
      <c r="A74" s="12"/>
      <c r="B74" s="6"/>
      <c r="C74" s="13" t="s">
        <v>80</v>
      </c>
      <c r="D74" s="5">
        <f t="shared" ref="D74:F74" si="4">COUNT(D2:D71)</f>
        <v>70</v>
      </c>
      <c r="E74" s="8">
        <f t="shared" si="4"/>
        <v>70</v>
      </c>
      <c r="F74" s="8">
        <f t="shared" si="4"/>
        <v>70</v>
      </c>
      <c r="G74" s="9"/>
    </row>
    <row r="75" ht="14.25" customHeight="1" spans="2:6">
      <c r="B75" s="14"/>
      <c r="C75" s="15"/>
      <c r="E75" s="16"/>
      <c r="F75" s="16"/>
    </row>
    <row r="76" ht="14.25" customHeight="1" spans="2:6">
      <c r="B76" s="14"/>
      <c r="C76" s="15"/>
      <c r="E76" s="16"/>
      <c r="F76" s="16"/>
    </row>
    <row r="77" ht="14.25" customHeight="1" spans="2:6">
      <c r="B77" s="14"/>
      <c r="C77" s="15"/>
      <c r="E77" s="16"/>
      <c r="F77" s="16"/>
    </row>
    <row r="78" ht="14.25" customHeight="1" spans="2:6">
      <c r="B78" s="14"/>
      <c r="C78" s="15"/>
      <c r="E78" s="16"/>
      <c r="F78" s="16"/>
    </row>
    <row r="79" ht="14.25" customHeight="1" spans="2:6">
      <c r="B79" s="14"/>
      <c r="C79" s="15"/>
      <c r="E79" s="16"/>
      <c r="F79" s="16"/>
    </row>
    <row r="80" ht="14.25" customHeight="1" spans="2:6">
      <c r="B80" s="14"/>
      <c r="C80" s="15"/>
      <c r="E80" s="16"/>
      <c r="F80" s="16"/>
    </row>
    <row r="81" ht="14.25" customHeight="1" spans="2:6">
      <c r="B81" s="14"/>
      <c r="C81" s="15"/>
      <c r="E81" s="16"/>
      <c r="F81" s="16"/>
    </row>
    <row r="82" ht="14.25" customHeight="1" spans="2:6">
      <c r="B82" s="14"/>
      <c r="C82" s="15"/>
      <c r="E82" s="16"/>
      <c r="F82" s="16"/>
    </row>
    <row r="83" ht="14.25" customHeight="1" spans="2:6">
      <c r="B83" s="14"/>
      <c r="C83" s="15"/>
      <c r="E83" s="16"/>
      <c r="F83" s="16"/>
    </row>
    <row r="84" ht="14.25" customHeight="1" spans="2:6">
      <c r="B84" s="14"/>
      <c r="C84" s="15"/>
      <c r="E84" s="16"/>
      <c r="F84" s="16"/>
    </row>
    <row r="85" ht="14.25" customHeight="1" spans="2:6">
      <c r="B85" s="14"/>
      <c r="C85" s="15"/>
      <c r="E85" s="16"/>
      <c r="F85" s="16"/>
    </row>
    <row r="86" ht="14.25" customHeight="1" spans="2:6">
      <c r="B86" s="14"/>
      <c r="C86" s="15"/>
      <c r="E86" s="16"/>
      <c r="F86" s="16"/>
    </row>
    <row r="87" ht="14.25" customHeight="1" spans="2:6">
      <c r="B87" s="14"/>
      <c r="C87" s="15"/>
      <c r="E87" s="16"/>
      <c r="F87" s="16"/>
    </row>
    <row r="88" ht="14.25" customHeight="1" spans="2:6">
      <c r="B88" s="14"/>
      <c r="C88" s="15"/>
      <c r="E88" s="16"/>
      <c r="F88" s="16"/>
    </row>
    <row r="89" ht="14.25" customHeight="1" spans="2:6">
      <c r="B89" s="14"/>
      <c r="C89" s="15"/>
      <c r="E89" s="16"/>
      <c r="F89" s="16"/>
    </row>
    <row r="90" ht="14.25" customHeight="1" spans="2:6">
      <c r="B90" s="14"/>
      <c r="C90" s="15"/>
      <c r="E90" s="16"/>
      <c r="F90" s="16"/>
    </row>
    <row r="91" ht="14.25" customHeight="1" spans="2:6">
      <c r="B91" s="14"/>
      <c r="C91" s="15"/>
      <c r="E91" s="16"/>
      <c r="F91" s="16"/>
    </row>
    <row r="92" ht="14.25" customHeight="1" spans="2:6">
      <c r="B92" s="14"/>
      <c r="C92" s="15"/>
      <c r="E92" s="16"/>
      <c r="F92" s="16"/>
    </row>
    <row r="93" ht="14.25" customHeight="1" spans="2:6">
      <c r="B93" s="14"/>
      <c r="C93" s="15"/>
      <c r="E93" s="16"/>
      <c r="F93" s="16"/>
    </row>
    <row r="94" ht="14.25" customHeight="1" spans="2:6">
      <c r="B94" s="14"/>
      <c r="C94" s="15"/>
      <c r="E94" s="16"/>
      <c r="F94" s="16"/>
    </row>
    <row r="95" ht="14.25" customHeight="1" spans="2:6">
      <c r="B95" s="14"/>
      <c r="C95" s="15"/>
      <c r="E95" s="16"/>
      <c r="F95" s="16"/>
    </row>
    <row r="96" ht="14.25" customHeight="1" spans="2:6">
      <c r="B96" s="14"/>
      <c r="C96" s="15"/>
      <c r="E96" s="16"/>
      <c r="F96" s="16"/>
    </row>
    <row r="97" ht="14.25" customHeight="1" spans="2:6">
      <c r="B97" s="14"/>
      <c r="C97" s="15"/>
      <c r="E97" s="16"/>
      <c r="F97" s="16"/>
    </row>
    <row r="98" ht="14.25" customHeight="1" spans="2:6">
      <c r="B98" s="14"/>
      <c r="C98" s="15"/>
      <c r="E98" s="16"/>
      <c r="F98" s="16"/>
    </row>
    <row r="99" ht="14.25" customHeight="1" spans="2:6">
      <c r="B99" s="14"/>
      <c r="C99" s="15"/>
      <c r="E99" s="16"/>
      <c r="F99" s="16"/>
    </row>
    <row r="100" ht="14.25" customHeight="1" spans="2:6">
      <c r="B100" s="14"/>
      <c r="C100" s="15"/>
      <c r="E100" s="16"/>
      <c r="F100" s="16"/>
    </row>
    <row r="101" ht="14.25" customHeight="1" spans="2:6">
      <c r="B101" s="14"/>
      <c r="C101" s="15"/>
      <c r="E101" s="16"/>
      <c r="F101" s="16"/>
    </row>
    <row r="102" ht="14.25" customHeight="1" spans="2:6">
      <c r="B102" s="14"/>
      <c r="C102" s="15"/>
      <c r="E102" s="16"/>
      <c r="F102" s="16"/>
    </row>
    <row r="103" ht="14.25" customHeight="1" spans="2:6">
      <c r="B103" s="14"/>
      <c r="C103" s="15"/>
      <c r="E103" s="16"/>
      <c r="F103" s="16"/>
    </row>
    <row r="104" ht="14.25" customHeight="1" spans="2:6">
      <c r="B104" s="14"/>
      <c r="C104" s="15"/>
      <c r="E104" s="16"/>
      <c r="F104" s="16"/>
    </row>
    <row r="105" ht="14.25" customHeight="1" spans="2:6">
      <c r="B105" s="14"/>
      <c r="C105" s="15"/>
      <c r="E105" s="16"/>
      <c r="F105" s="16"/>
    </row>
    <row r="106" ht="14.25" customHeight="1" spans="2:6">
      <c r="B106" s="14"/>
      <c r="C106" s="15"/>
      <c r="E106" s="16"/>
      <c r="F106" s="16"/>
    </row>
    <row r="107" ht="14.25" customHeight="1" spans="2:6">
      <c r="B107" s="14"/>
      <c r="C107" s="15"/>
      <c r="E107" s="16"/>
      <c r="F107" s="16"/>
    </row>
    <row r="108" ht="14.25" customHeight="1" spans="2:6">
      <c r="B108" s="14"/>
      <c r="C108" s="15"/>
      <c r="E108" s="16"/>
      <c r="F108" s="16"/>
    </row>
    <row r="109" ht="14.25" customHeight="1" spans="2:6">
      <c r="B109" s="14"/>
      <c r="C109" s="15"/>
      <c r="E109" s="16"/>
      <c r="F109" s="16"/>
    </row>
    <row r="110" ht="14.25" customHeight="1" spans="2:6">
      <c r="B110" s="14"/>
      <c r="C110" s="15"/>
      <c r="E110" s="16"/>
      <c r="F110" s="16"/>
    </row>
    <row r="111" ht="14.25" customHeight="1" spans="2:6">
      <c r="B111" s="14"/>
      <c r="C111" s="15"/>
      <c r="E111" s="16"/>
      <c r="F111" s="16"/>
    </row>
    <row r="112" ht="14.25" customHeight="1" spans="2:6">
      <c r="B112" s="14"/>
      <c r="C112" s="15"/>
      <c r="E112" s="16"/>
      <c r="F112" s="16"/>
    </row>
    <row r="113" ht="14.25" customHeight="1" spans="2:6">
      <c r="B113" s="14"/>
      <c r="C113" s="15"/>
      <c r="E113" s="16"/>
      <c r="F113" s="16"/>
    </row>
    <row r="114" ht="14.25" customHeight="1" spans="2:6">
      <c r="B114" s="14"/>
      <c r="C114" s="15"/>
      <c r="E114" s="16"/>
      <c r="F114" s="16"/>
    </row>
    <row r="115" ht="14.25" customHeight="1" spans="2:6">
      <c r="B115" s="14"/>
      <c r="C115" s="15"/>
      <c r="E115" s="16"/>
      <c r="F115" s="16"/>
    </row>
    <row r="116" ht="14.25" customHeight="1" spans="2:6">
      <c r="B116" s="14"/>
      <c r="C116" s="15"/>
      <c r="E116" s="16"/>
      <c r="F116" s="16"/>
    </row>
    <row r="117" ht="14.25" customHeight="1" spans="2:6">
      <c r="B117" s="14"/>
      <c r="C117" s="15"/>
      <c r="E117" s="16"/>
      <c r="F117" s="16"/>
    </row>
    <row r="118" ht="14.25" customHeight="1" spans="2:6">
      <c r="B118" s="14"/>
      <c r="C118" s="15"/>
      <c r="E118" s="16"/>
      <c r="F118" s="16"/>
    </row>
    <row r="119" ht="14.25" customHeight="1" spans="2:6">
      <c r="B119" s="14"/>
      <c r="C119" s="15"/>
      <c r="E119" s="16"/>
      <c r="F119" s="16"/>
    </row>
    <row r="120" ht="14.25" customHeight="1" spans="2:6">
      <c r="B120" s="14"/>
      <c r="C120" s="15"/>
      <c r="E120" s="16"/>
      <c r="F120" s="16"/>
    </row>
    <row r="121" ht="14.25" customHeight="1" spans="2:6">
      <c r="B121" s="14"/>
      <c r="C121" s="15"/>
      <c r="E121" s="16"/>
      <c r="F121" s="16"/>
    </row>
    <row r="122" ht="14.25" customHeight="1" spans="2:6">
      <c r="B122" s="14"/>
      <c r="C122" s="15"/>
      <c r="E122" s="16"/>
      <c r="F122" s="16"/>
    </row>
    <row r="123" ht="14.25" customHeight="1" spans="2:6">
      <c r="B123" s="14"/>
      <c r="C123" s="15"/>
      <c r="E123" s="16"/>
      <c r="F123" s="16"/>
    </row>
    <row r="124" ht="14.25" customHeight="1" spans="2:6">
      <c r="B124" s="14"/>
      <c r="C124" s="15"/>
      <c r="E124" s="16"/>
      <c r="F124" s="16"/>
    </row>
    <row r="125" ht="14.25" customHeight="1" spans="2:6">
      <c r="B125" s="14"/>
      <c r="C125" s="15"/>
      <c r="E125" s="16"/>
      <c r="F125" s="16"/>
    </row>
    <row r="126" ht="14.25" customHeight="1" spans="2:6">
      <c r="B126" s="14"/>
      <c r="C126" s="15"/>
      <c r="E126" s="16"/>
      <c r="F126" s="16"/>
    </row>
    <row r="127" ht="14.25" customHeight="1" spans="2:6">
      <c r="B127" s="14"/>
      <c r="C127" s="15"/>
      <c r="E127" s="16"/>
      <c r="F127" s="16"/>
    </row>
    <row r="128" ht="14.25" customHeight="1" spans="2:6">
      <c r="B128" s="14"/>
      <c r="C128" s="15"/>
      <c r="E128" s="16"/>
      <c r="F128" s="16"/>
    </row>
    <row r="129" ht="14.25" customHeight="1" spans="2:6">
      <c r="B129" s="14"/>
      <c r="C129" s="15"/>
      <c r="E129" s="16"/>
      <c r="F129" s="16"/>
    </row>
    <row r="130" ht="14.25" customHeight="1" spans="2:6">
      <c r="B130" s="14"/>
      <c r="C130" s="15"/>
      <c r="E130" s="16"/>
      <c r="F130" s="16"/>
    </row>
    <row r="131" ht="14.25" customHeight="1" spans="2:6">
      <c r="B131" s="14"/>
      <c r="C131" s="15"/>
      <c r="E131" s="16"/>
      <c r="F131" s="16"/>
    </row>
    <row r="132" ht="14.25" customHeight="1" spans="2:6">
      <c r="B132" s="14"/>
      <c r="C132" s="15"/>
      <c r="E132" s="16"/>
      <c r="F132" s="16"/>
    </row>
    <row r="133" ht="14.25" customHeight="1" spans="2:6">
      <c r="B133" s="14"/>
      <c r="C133" s="15"/>
      <c r="E133" s="16"/>
      <c r="F133" s="16"/>
    </row>
    <row r="134" ht="14.25" customHeight="1" spans="2:6">
      <c r="B134" s="14"/>
      <c r="C134" s="15"/>
      <c r="E134" s="16"/>
      <c r="F134" s="16"/>
    </row>
    <row r="135" ht="14.25" customHeight="1" spans="2:6">
      <c r="B135" s="14"/>
      <c r="C135" s="15"/>
      <c r="E135" s="16"/>
      <c r="F135" s="16"/>
    </row>
    <row r="136" ht="14.25" customHeight="1" spans="2:6">
      <c r="B136" s="14"/>
      <c r="C136" s="15"/>
      <c r="E136" s="16"/>
      <c r="F136" s="16"/>
    </row>
    <row r="137" ht="14.25" customHeight="1" spans="2:6">
      <c r="B137" s="14"/>
      <c r="C137" s="15"/>
      <c r="E137" s="16"/>
      <c r="F137" s="16"/>
    </row>
    <row r="138" ht="14.25" customHeight="1" spans="2:6">
      <c r="B138" s="14"/>
      <c r="C138" s="15"/>
      <c r="E138" s="16"/>
      <c r="F138" s="16"/>
    </row>
    <row r="139" ht="14.25" customHeight="1" spans="2:6">
      <c r="B139" s="14"/>
      <c r="C139" s="15"/>
      <c r="E139" s="16"/>
      <c r="F139" s="16"/>
    </row>
    <row r="140" ht="14.25" customHeight="1" spans="2:6">
      <c r="B140" s="14"/>
      <c r="C140" s="15"/>
      <c r="E140" s="16"/>
      <c r="F140" s="16"/>
    </row>
    <row r="141" ht="14.25" customHeight="1" spans="2:6">
      <c r="B141" s="14"/>
      <c r="C141" s="15"/>
      <c r="E141" s="16"/>
      <c r="F141" s="16"/>
    </row>
    <row r="142" ht="14.25" customHeight="1" spans="2:6">
      <c r="B142" s="14"/>
      <c r="C142" s="15"/>
      <c r="E142" s="16"/>
      <c r="F142" s="16"/>
    </row>
    <row r="143" ht="14.25" customHeight="1" spans="2:6">
      <c r="B143" s="14"/>
      <c r="C143" s="15"/>
      <c r="E143" s="16"/>
      <c r="F143" s="16"/>
    </row>
    <row r="144" ht="14.25" customHeight="1" spans="2:6">
      <c r="B144" s="14"/>
      <c r="C144" s="15"/>
      <c r="E144" s="16"/>
      <c r="F144" s="16"/>
    </row>
    <row r="145" ht="14.25" customHeight="1" spans="2:6">
      <c r="B145" s="14"/>
      <c r="C145" s="15"/>
      <c r="E145" s="16"/>
      <c r="F145" s="16"/>
    </row>
    <row r="146" ht="14.25" customHeight="1" spans="2:6">
      <c r="B146" s="14"/>
      <c r="C146" s="15"/>
      <c r="E146" s="16"/>
      <c r="F146" s="16"/>
    </row>
    <row r="147" ht="14.25" customHeight="1" spans="2:6">
      <c r="B147" s="14"/>
      <c r="C147" s="15"/>
      <c r="E147" s="16"/>
      <c r="F147" s="16"/>
    </row>
    <row r="148" ht="14.25" customHeight="1" spans="2:6">
      <c r="B148" s="14"/>
      <c r="C148" s="15"/>
      <c r="E148" s="16"/>
      <c r="F148" s="16"/>
    </row>
    <row r="149" ht="14.25" customHeight="1" spans="2:6">
      <c r="B149" s="14"/>
      <c r="C149" s="15"/>
      <c r="E149" s="16"/>
      <c r="F149" s="16"/>
    </row>
    <row r="150" ht="14.25" customHeight="1" spans="2:6">
      <c r="B150" s="14"/>
      <c r="C150" s="15"/>
      <c r="E150" s="16"/>
      <c r="F150" s="16"/>
    </row>
    <row r="151" ht="14.25" customHeight="1" spans="2:6">
      <c r="B151" s="14"/>
      <c r="C151" s="15"/>
      <c r="E151" s="16"/>
      <c r="F151" s="16"/>
    </row>
    <row r="152" ht="14.25" customHeight="1" spans="2:6">
      <c r="B152" s="14"/>
      <c r="C152" s="15"/>
      <c r="E152" s="16"/>
      <c r="F152" s="16"/>
    </row>
    <row r="153" ht="14.25" customHeight="1" spans="2:6">
      <c r="B153" s="14"/>
      <c r="C153" s="15"/>
      <c r="E153" s="16"/>
      <c r="F153" s="16"/>
    </row>
    <row r="154" ht="14.25" customHeight="1" spans="2:6">
      <c r="B154" s="14"/>
      <c r="C154" s="15"/>
      <c r="E154" s="16"/>
      <c r="F154" s="16"/>
    </row>
    <row r="155" ht="14.25" customHeight="1" spans="2:6">
      <c r="B155" s="14"/>
      <c r="C155" s="15"/>
      <c r="E155" s="16"/>
      <c r="F155" s="16"/>
    </row>
    <row r="156" ht="14.25" customHeight="1" spans="2:6">
      <c r="B156" s="14"/>
      <c r="C156" s="15"/>
      <c r="E156" s="16"/>
      <c r="F156" s="16"/>
    </row>
    <row r="157" ht="14.25" customHeight="1" spans="2:6">
      <c r="B157" s="14"/>
      <c r="C157" s="15"/>
      <c r="E157" s="16"/>
      <c r="F157" s="16"/>
    </row>
    <row r="158" ht="14.25" customHeight="1" spans="2:6">
      <c r="B158" s="14"/>
      <c r="C158" s="15"/>
      <c r="E158" s="16"/>
      <c r="F158" s="16"/>
    </row>
    <row r="159" ht="14.25" customHeight="1" spans="2:6">
      <c r="B159" s="14"/>
      <c r="C159" s="15"/>
      <c r="E159" s="16"/>
      <c r="F159" s="16"/>
    </row>
    <row r="160" ht="14.25" customHeight="1" spans="2:6">
      <c r="B160" s="14"/>
      <c r="C160" s="15"/>
      <c r="E160" s="16"/>
      <c r="F160" s="16"/>
    </row>
    <row r="161" ht="14.25" customHeight="1" spans="2:6">
      <c r="B161" s="14"/>
      <c r="C161" s="15"/>
      <c r="E161" s="16"/>
      <c r="F161" s="16"/>
    </row>
    <row r="162" ht="14.25" customHeight="1" spans="2:6">
      <c r="B162" s="14"/>
      <c r="C162" s="15"/>
      <c r="E162" s="16"/>
      <c r="F162" s="16"/>
    </row>
    <row r="163" ht="14.25" customHeight="1" spans="2:6">
      <c r="B163" s="14"/>
      <c r="C163" s="15"/>
      <c r="E163" s="16"/>
      <c r="F163" s="16"/>
    </row>
    <row r="164" ht="14.25" customHeight="1" spans="2:6">
      <c r="B164" s="14"/>
      <c r="C164" s="15"/>
      <c r="E164" s="16"/>
      <c r="F164" s="16"/>
    </row>
    <row r="165" ht="14.25" customHeight="1" spans="2:6">
      <c r="B165" s="14"/>
      <c r="C165" s="15"/>
      <c r="E165" s="16"/>
      <c r="F165" s="16"/>
    </row>
    <row r="166" ht="14.25" customHeight="1" spans="2:6">
      <c r="B166" s="14"/>
      <c r="C166" s="15"/>
      <c r="E166" s="16"/>
      <c r="F166" s="16"/>
    </row>
    <row r="167" ht="14.25" customHeight="1" spans="2:6">
      <c r="B167" s="14"/>
      <c r="C167" s="15"/>
      <c r="E167" s="16"/>
      <c r="F167" s="16"/>
    </row>
    <row r="168" ht="14.25" customHeight="1" spans="2:6">
      <c r="B168" s="14"/>
      <c r="C168" s="15"/>
      <c r="E168" s="16"/>
      <c r="F168" s="16"/>
    </row>
    <row r="169" ht="14.25" customHeight="1" spans="2:6">
      <c r="B169" s="14"/>
      <c r="C169" s="15"/>
      <c r="E169" s="16"/>
      <c r="F169" s="16"/>
    </row>
    <row r="170" ht="14.25" customHeight="1" spans="2:6">
      <c r="B170" s="14"/>
      <c r="C170" s="15"/>
      <c r="E170" s="16"/>
      <c r="F170" s="16"/>
    </row>
    <row r="171" ht="14.25" customHeight="1" spans="2:6">
      <c r="B171" s="14"/>
      <c r="C171" s="15"/>
      <c r="E171" s="16"/>
      <c r="F171" s="16"/>
    </row>
    <row r="172" ht="14.25" customHeight="1" spans="2:6">
      <c r="B172" s="14"/>
      <c r="C172" s="15"/>
      <c r="E172" s="16"/>
      <c r="F172" s="16"/>
    </row>
    <row r="173" ht="14.25" customHeight="1" spans="2:6">
      <c r="B173" s="14"/>
      <c r="C173" s="15"/>
      <c r="E173" s="16"/>
      <c r="F173" s="16"/>
    </row>
    <row r="174" ht="14.25" customHeight="1" spans="2:6">
      <c r="B174" s="14"/>
      <c r="C174" s="15"/>
      <c r="E174" s="16"/>
      <c r="F174" s="16"/>
    </row>
    <row r="175" ht="14.25" customHeight="1" spans="2:6">
      <c r="B175" s="14"/>
      <c r="C175" s="15"/>
      <c r="E175" s="16"/>
      <c r="F175" s="16"/>
    </row>
    <row r="176" ht="14.25" customHeight="1" spans="2:6">
      <c r="B176" s="14"/>
      <c r="C176" s="15"/>
      <c r="E176" s="16"/>
      <c r="F176" s="16"/>
    </row>
    <row r="177" ht="14.25" customHeight="1" spans="2:6">
      <c r="B177" s="14"/>
      <c r="C177" s="15"/>
      <c r="E177" s="16"/>
      <c r="F177" s="16"/>
    </row>
    <row r="178" ht="14.25" customHeight="1" spans="2:6">
      <c r="B178" s="14"/>
      <c r="C178" s="15"/>
      <c r="E178" s="16"/>
      <c r="F178" s="16"/>
    </row>
    <row r="179" ht="14.25" customHeight="1" spans="2:6">
      <c r="B179" s="14"/>
      <c r="C179" s="15"/>
      <c r="E179" s="16"/>
      <c r="F179" s="16"/>
    </row>
    <row r="180" ht="14.25" customHeight="1" spans="2:6">
      <c r="B180" s="14"/>
      <c r="C180" s="15"/>
      <c r="E180" s="16"/>
      <c r="F180" s="16"/>
    </row>
    <row r="181" ht="14.25" customHeight="1" spans="2:6">
      <c r="B181" s="14"/>
      <c r="C181" s="15"/>
      <c r="E181" s="16"/>
      <c r="F181" s="16"/>
    </row>
    <row r="182" ht="14.25" customHeight="1" spans="2:6">
      <c r="B182" s="14"/>
      <c r="C182" s="15"/>
      <c r="E182" s="16"/>
      <c r="F182" s="16"/>
    </row>
    <row r="183" ht="14.25" customHeight="1" spans="2:6">
      <c r="B183" s="14"/>
      <c r="C183" s="15"/>
      <c r="E183" s="16"/>
      <c r="F183" s="16"/>
    </row>
    <row r="184" ht="14.25" customHeight="1" spans="2:6">
      <c r="B184" s="14"/>
      <c r="C184" s="15"/>
      <c r="E184" s="16"/>
      <c r="F184" s="16"/>
    </row>
    <row r="185" ht="14.25" customHeight="1" spans="2:6">
      <c r="B185" s="14"/>
      <c r="C185" s="15"/>
      <c r="E185" s="16"/>
      <c r="F185" s="16"/>
    </row>
    <row r="186" ht="14.25" customHeight="1" spans="2:6">
      <c r="B186" s="14"/>
      <c r="C186" s="15"/>
      <c r="E186" s="16"/>
      <c r="F186" s="16"/>
    </row>
    <row r="187" ht="14.25" customHeight="1" spans="2:6">
      <c r="B187" s="14"/>
      <c r="C187" s="15"/>
      <c r="E187" s="16"/>
      <c r="F187" s="16"/>
    </row>
    <row r="188" ht="14.25" customHeight="1" spans="2:6">
      <c r="B188" s="14"/>
      <c r="C188" s="15"/>
      <c r="E188" s="16"/>
      <c r="F188" s="16"/>
    </row>
    <row r="189" ht="14.25" customHeight="1" spans="2:6">
      <c r="B189" s="14"/>
      <c r="C189" s="15"/>
      <c r="E189" s="16"/>
      <c r="F189" s="16"/>
    </row>
    <row r="190" ht="14.25" customHeight="1" spans="2:6">
      <c r="B190" s="14"/>
      <c r="C190" s="15"/>
      <c r="E190" s="16"/>
      <c r="F190" s="16"/>
    </row>
    <row r="191" ht="14.25" customHeight="1" spans="2:6">
      <c r="B191" s="14"/>
      <c r="C191" s="15"/>
      <c r="E191" s="16"/>
      <c r="F191" s="16"/>
    </row>
    <row r="192" ht="14.25" customHeight="1" spans="2:6">
      <c r="B192" s="14"/>
      <c r="C192" s="15"/>
      <c r="E192" s="16"/>
      <c r="F192" s="16"/>
    </row>
    <row r="193" ht="14.25" customHeight="1" spans="2:6">
      <c r="B193" s="14"/>
      <c r="C193" s="15"/>
      <c r="E193" s="16"/>
      <c r="F193" s="16"/>
    </row>
    <row r="194" ht="14.25" customHeight="1" spans="2:6">
      <c r="B194" s="14"/>
      <c r="C194" s="15"/>
      <c r="E194" s="16"/>
      <c r="F194" s="16"/>
    </row>
    <row r="195" ht="14.25" customHeight="1" spans="2:6">
      <c r="B195" s="14"/>
      <c r="C195" s="15"/>
      <c r="E195" s="16"/>
      <c r="F195" s="16"/>
    </row>
    <row r="196" ht="14.25" customHeight="1" spans="2:6">
      <c r="B196" s="14"/>
      <c r="C196" s="15"/>
      <c r="E196" s="16"/>
      <c r="F196" s="16"/>
    </row>
    <row r="197" ht="14.25" customHeight="1" spans="2:6">
      <c r="B197" s="14"/>
      <c r="C197" s="15"/>
      <c r="E197" s="16"/>
      <c r="F197" s="16"/>
    </row>
    <row r="198" ht="14.25" customHeight="1" spans="2:6">
      <c r="B198" s="14"/>
      <c r="C198" s="15"/>
      <c r="E198" s="16"/>
      <c r="F198" s="16"/>
    </row>
    <row r="199" ht="14.25" customHeight="1" spans="2:6">
      <c r="B199" s="14"/>
      <c r="C199" s="15"/>
      <c r="E199" s="16"/>
      <c r="F199" s="16"/>
    </row>
    <row r="200" ht="14.25" customHeight="1" spans="2:6">
      <c r="B200" s="14"/>
      <c r="C200" s="15"/>
      <c r="E200" s="16"/>
      <c r="F200" s="16"/>
    </row>
    <row r="201" ht="14.25" customHeight="1" spans="2:6">
      <c r="B201" s="14"/>
      <c r="C201" s="15"/>
      <c r="E201" s="16"/>
      <c r="F201" s="16"/>
    </row>
    <row r="202" ht="14.25" customHeight="1" spans="2:6">
      <c r="B202" s="14"/>
      <c r="C202" s="15"/>
      <c r="E202" s="16"/>
      <c r="F202" s="16"/>
    </row>
    <row r="203" ht="14.25" customHeight="1" spans="2:6">
      <c r="B203" s="14"/>
      <c r="C203" s="15"/>
      <c r="E203" s="16"/>
      <c r="F203" s="16"/>
    </row>
    <row r="204" ht="14.25" customHeight="1" spans="2:6">
      <c r="B204" s="14"/>
      <c r="C204" s="15"/>
      <c r="E204" s="16"/>
      <c r="F204" s="16"/>
    </row>
    <row r="205" ht="14.25" customHeight="1" spans="2:6">
      <c r="B205" s="14"/>
      <c r="C205" s="15"/>
      <c r="E205" s="16"/>
      <c r="F205" s="16"/>
    </row>
    <row r="206" ht="14.25" customHeight="1" spans="2:6">
      <c r="B206" s="14"/>
      <c r="C206" s="15"/>
      <c r="E206" s="16"/>
      <c r="F206" s="16"/>
    </row>
    <row r="207" ht="14.25" customHeight="1" spans="2:6">
      <c r="B207" s="14"/>
      <c r="C207" s="15"/>
      <c r="E207" s="16"/>
      <c r="F207" s="16"/>
    </row>
    <row r="208" ht="14.25" customHeight="1" spans="2:6">
      <c r="B208" s="14"/>
      <c r="C208" s="15"/>
      <c r="E208" s="16"/>
      <c r="F208" s="16"/>
    </row>
    <row r="209" ht="14.25" customHeight="1" spans="2:6">
      <c r="B209" s="14"/>
      <c r="C209" s="15"/>
      <c r="E209" s="16"/>
      <c r="F209" s="16"/>
    </row>
    <row r="210" ht="14.25" customHeight="1" spans="2:6">
      <c r="B210" s="14"/>
      <c r="C210" s="15"/>
      <c r="E210" s="16"/>
      <c r="F210" s="16"/>
    </row>
    <row r="211" ht="14.25" customHeight="1" spans="2:6">
      <c r="B211" s="14"/>
      <c r="C211" s="15"/>
      <c r="E211" s="16"/>
      <c r="F211" s="16"/>
    </row>
    <row r="212" ht="14.25" customHeight="1" spans="2:6">
      <c r="B212" s="14"/>
      <c r="C212" s="15"/>
      <c r="E212" s="16"/>
      <c r="F212" s="16"/>
    </row>
    <row r="213" ht="14.25" customHeight="1" spans="2:6">
      <c r="B213" s="14"/>
      <c r="C213" s="15"/>
      <c r="E213" s="16"/>
      <c r="F213" s="16"/>
    </row>
    <row r="214" ht="14.25" customHeight="1" spans="2:6">
      <c r="B214" s="14"/>
      <c r="C214" s="15"/>
      <c r="E214" s="16"/>
      <c r="F214" s="16"/>
    </row>
    <row r="215" ht="14.25" customHeight="1" spans="2:6">
      <c r="B215" s="14"/>
      <c r="C215" s="15"/>
      <c r="E215" s="16"/>
      <c r="F215" s="16"/>
    </row>
    <row r="216" ht="14.25" customHeight="1" spans="2:6">
      <c r="B216" s="14"/>
      <c r="C216" s="15"/>
      <c r="E216" s="16"/>
      <c r="F216" s="16"/>
    </row>
    <row r="217" ht="14.25" customHeight="1" spans="2:6">
      <c r="B217" s="14"/>
      <c r="C217" s="15"/>
      <c r="E217" s="16"/>
      <c r="F217" s="16"/>
    </row>
    <row r="218" ht="14.25" customHeight="1" spans="2:6">
      <c r="B218" s="14"/>
      <c r="C218" s="15"/>
      <c r="E218" s="16"/>
      <c r="F218" s="16"/>
    </row>
    <row r="219" ht="14.25" customHeight="1" spans="2:6">
      <c r="B219" s="14"/>
      <c r="C219" s="15"/>
      <c r="E219" s="16"/>
      <c r="F219" s="16"/>
    </row>
    <row r="220" ht="14.25" customHeight="1" spans="2:6">
      <c r="B220" s="14"/>
      <c r="C220" s="15"/>
      <c r="E220" s="16"/>
      <c r="F220" s="16"/>
    </row>
    <row r="221" ht="14.25" customHeight="1" spans="2:6">
      <c r="B221" s="14"/>
      <c r="C221" s="15"/>
      <c r="E221" s="16"/>
      <c r="F221" s="16"/>
    </row>
    <row r="222" ht="14.25" customHeight="1" spans="2:6">
      <c r="B222" s="14"/>
      <c r="C222" s="15"/>
      <c r="E222" s="16"/>
      <c r="F222" s="16"/>
    </row>
    <row r="223" ht="14.25" customHeight="1" spans="2:6">
      <c r="B223" s="14"/>
      <c r="C223" s="15"/>
      <c r="E223" s="16"/>
      <c r="F223" s="16"/>
    </row>
    <row r="224" ht="14.25" customHeight="1" spans="2:6">
      <c r="B224" s="14"/>
      <c r="C224" s="15"/>
      <c r="E224" s="16"/>
      <c r="F224" s="16"/>
    </row>
    <row r="225" ht="14.25" customHeight="1" spans="2:6">
      <c r="B225" s="14"/>
      <c r="C225" s="15"/>
      <c r="E225" s="16"/>
      <c r="F225" s="16"/>
    </row>
    <row r="226" ht="14.25" customHeight="1" spans="2:6">
      <c r="B226" s="14"/>
      <c r="C226" s="15"/>
      <c r="E226" s="16"/>
      <c r="F226" s="16"/>
    </row>
    <row r="227" ht="14.25" customHeight="1" spans="2:6">
      <c r="B227" s="14"/>
      <c r="C227" s="15"/>
      <c r="E227" s="16"/>
      <c r="F227" s="16"/>
    </row>
    <row r="228" ht="14.25" customHeight="1" spans="2:6">
      <c r="B228" s="14"/>
      <c r="C228" s="15"/>
      <c r="E228" s="16"/>
      <c r="F228" s="16"/>
    </row>
    <row r="229" ht="14.25" customHeight="1" spans="2:6">
      <c r="B229" s="14"/>
      <c r="C229" s="15"/>
      <c r="E229" s="16"/>
      <c r="F229" s="16"/>
    </row>
    <row r="230" ht="14.25" customHeight="1" spans="2:6">
      <c r="B230" s="14"/>
      <c r="C230" s="15"/>
      <c r="E230" s="16"/>
      <c r="F230" s="16"/>
    </row>
    <row r="231" ht="14.25" customHeight="1" spans="2:6">
      <c r="B231" s="14"/>
      <c r="C231" s="15"/>
      <c r="E231" s="16"/>
      <c r="F231" s="16"/>
    </row>
    <row r="232" ht="14.25" customHeight="1" spans="2:6">
      <c r="B232" s="14"/>
      <c r="C232" s="15"/>
      <c r="E232" s="16"/>
      <c r="F232" s="16"/>
    </row>
    <row r="233" ht="14.25" customHeight="1" spans="2:6">
      <c r="B233" s="14"/>
      <c r="C233" s="15"/>
      <c r="E233" s="16"/>
      <c r="F233" s="16"/>
    </row>
    <row r="234" ht="14.25" customHeight="1" spans="2:6">
      <c r="B234" s="14"/>
      <c r="C234" s="15"/>
      <c r="E234" s="16"/>
      <c r="F234" s="16"/>
    </row>
    <row r="235" ht="14.25" customHeight="1" spans="2:6">
      <c r="B235" s="14"/>
      <c r="C235" s="15"/>
      <c r="E235" s="16"/>
      <c r="F235" s="16"/>
    </row>
    <row r="236" ht="14.25" customHeight="1" spans="2:6">
      <c r="B236" s="14"/>
      <c r="C236" s="15"/>
      <c r="E236" s="16"/>
      <c r="F236" s="16"/>
    </row>
    <row r="237" ht="14.25" customHeight="1" spans="2:6">
      <c r="B237" s="14"/>
      <c r="C237" s="15"/>
      <c r="E237" s="16"/>
      <c r="F237" s="16"/>
    </row>
    <row r="238" ht="14.25" customHeight="1" spans="2:6">
      <c r="B238" s="14"/>
      <c r="C238" s="15"/>
      <c r="E238" s="16"/>
      <c r="F238" s="16"/>
    </row>
    <row r="239" ht="14.25" customHeight="1" spans="2:6">
      <c r="B239" s="14"/>
      <c r="C239" s="15"/>
      <c r="E239" s="16"/>
      <c r="F239" s="16"/>
    </row>
    <row r="240" ht="14.25" customHeight="1" spans="2:6">
      <c r="B240" s="14"/>
      <c r="C240" s="15"/>
      <c r="E240" s="16"/>
      <c r="F240" s="16"/>
    </row>
    <row r="241" ht="14.25" customHeight="1" spans="2:6">
      <c r="B241" s="14"/>
      <c r="C241" s="15"/>
      <c r="E241" s="16"/>
      <c r="F241" s="16"/>
    </row>
    <row r="242" ht="14.25" customHeight="1" spans="2:6">
      <c r="B242" s="14"/>
      <c r="C242" s="15"/>
      <c r="E242" s="16"/>
      <c r="F242" s="16"/>
    </row>
    <row r="243" ht="14.25" customHeight="1" spans="2:6">
      <c r="B243" s="14"/>
      <c r="C243" s="15"/>
      <c r="E243" s="16"/>
      <c r="F243" s="16"/>
    </row>
    <row r="244" ht="14.25" customHeight="1" spans="2:6">
      <c r="B244" s="14"/>
      <c r="C244" s="15"/>
      <c r="E244" s="16"/>
      <c r="F244" s="16"/>
    </row>
    <row r="245" ht="14.25" customHeight="1" spans="2:6">
      <c r="B245" s="14"/>
      <c r="C245" s="15"/>
      <c r="E245" s="16"/>
      <c r="F245" s="16"/>
    </row>
    <row r="246" ht="14.25" customHeight="1" spans="2:6">
      <c r="B246" s="14"/>
      <c r="C246" s="15"/>
      <c r="E246" s="16"/>
      <c r="F246" s="16"/>
    </row>
    <row r="247" ht="14.25" customHeight="1" spans="2:6">
      <c r="B247" s="14"/>
      <c r="C247" s="15"/>
      <c r="E247" s="16"/>
      <c r="F247" s="16"/>
    </row>
    <row r="248" ht="14.25" customHeight="1" spans="2:6">
      <c r="B248" s="14"/>
      <c r="C248" s="15"/>
      <c r="E248" s="16"/>
      <c r="F248" s="16"/>
    </row>
    <row r="249" ht="14.25" customHeight="1" spans="2:6">
      <c r="B249" s="14"/>
      <c r="C249" s="15"/>
      <c r="E249" s="16"/>
      <c r="F249" s="16"/>
    </row>
    <row r="250" ht="14.25" customHeight="1" spans="2:6">
      <c r="B250" s="14"/>
      <c r="C250" s="15"/>
      <c r="E250" s="16"/>
      <c r="F250" s="16"/>
    </row>
    <row r="251" ht="14.25" customHeight="1" spans="2:6">
      <c r="B251" s="14"/>
      <c r="C251" s="15"/>
      <c r="E251" s="16"/>
      <c r="F251" s="16"/>
    </row>
    <row r="252" ht="14.25" customHeight="1" spans="2:6">
      <c r="B252" s="14"/>
      <c r="C252" s="15"/>
      <c r="E252" s="16"/>
      <c r="F252" s="16"/>
    </row>
    <row r="253" ht="14.25" customHeight="1" spans="2:6">
      <c r="B253" s="14"/>
      <c r="C253" s="15"/>
      <c r="E253" s="16"/>
      <c r="F253" s="16"/>
    </row>
    <row r="254" ht="14.25" customHeight="1" spans="2:6">
      <c r="B254" s="14"/>
      <c r="C254" s="15"/>
      <c r="E254" s="16"/>
      <c r="F254" s="16"/>
    </row>
    <row r="255" ht="14.25" customHeight="1" spans="2:6">
      <c r="B255" s="14"/>
      <c r="C255" s="15"/>
      <c r="E255" s="16"/>
      <c r="F255" s="16"/>
    </row>
    <row r="256" ht="14.25" customHeight="1" spans="2:6">
      <c r="B256" s="14"/>
      <c r="C256" s="15"/>
      <c r="E256" s="16"/>
      <c r="F256" s="16"/>
    </row>
    <row r="257" ht="14.25" customHeight="1" spans="2:6">
      <c r="B257" s="14"/>
      <c r="C257" s="15"/>
      <c r="E257" s="16"/>
      <c r="F257" s="16"/>
    </row>
    <row r="258" ht="14.25" customHeight="1" spans="2:6">
      <c r="B258" s="14"/>
      <c r="C258" s="15"/>
      <c r="E258" s="16"/>
      <c r="F258" s="16"/>
    </row>
    <row r="259" ht="14.25" customHeight="1" spans="2:6">
      <c r="B259" s="14"/>
      <c r="C259" s="15"/>
      <c r="E259" s="16"/>
      <c r="F259" s="16"/>
    </row>
    <row r="260" ht="14.25" customHeight="1" spans="2:6">
      <c r="B260" s="14"/>
      <c r="C260" s="15"/>
      <c r="E260" s="16"/>
      <c r="F260" s="16"/>
    </row>
    <row r="261" ht="14.25" customHeight="1" spans="2:6">
      <c r="B261" s="14"/>
      <c r="C261" s="15"/>
      <c r="E261" s="16"/>
      <c r="F261" s="16"/>
    </row>
    <row r="262" ht="14.25" customHeight="1" spans="2:6">
      <c r="B262" s="14"/>
      <c r="C262" s="15"/>
      <c r="E262" s="16"/>
      <c r="F262" s="16"/>
    </row>
    <row r="263" ht="14.25" customHeight="1" spans="2:6">
      <c r="B263" s="14"/>
      <c r="C263" s="15"/>
      <c r="E263" s="16"/>
      <c r="F263" s="16"/>
    </row>
    <row r="264" ht="14.25" customHeight="1" spans="2:6">
      <c r="B264" s="14"/>
      <c r="C264" s="15"/>
      <c r="E264" s="16"/>
      <c r="F264" s="16"/>
    </row>
    <row r="265" ht="14.25" customHeight="1" spans="2:6">
      <c r="B265" s="14"/>
      <c r="C265" s="15"/>
      <c r="E265" s="16"/>
      <c r="F265" s="16"/>
    </row>
    <row r="266" ht="14.25" customHeight="1" spans="2:6">
      <c r="B266" s="14"/>
      <c r="C266" s="15"/>
      <c r="E266" s="16"/>
      <c r="F266" s="16"/>
    </row>
    <row r="267" ht="14.25" customHeight="1" spans="2:6">
      <c r="B267" s="14"/>
      <c r="C267" s="15"/>
      <c r="E267" s="16"/>
      <c r="F267" s="16"/>
    </row>
    <row r="268" ht="14.25" customHeight="1" spans="2:6">
      <c r="B268" s="14"/>
      <c r="C268" s="15"/>
      <c r="E268" s="16"/>
      <c r="F268" s="16"/>
    </row>
    <row r="269" ht="14.25" customHeight="1" spans="2:6">
      <c r="B269" s="14"/>
      <c r="C269" s="15"/>
      <c r="E269" s="16"/>
      <c r="F269" s="16"/>
    </row>
    <row r="270" ht="14.25" customHeight="1" spans="2:6">
      <c r="B270" s="14"/>
      <c r="C270" s="15"/>
      <c r="E270" s="16"/>
      <c r="F270" s="16"/>
    </row>
    <row r="271" ht="14.25" customHeight="1" spans="2:6">
      <c r="B271" s="14"/>
      <c r="C271" s="15"/>
      <c r="E271" s="16"/>
      <c r="F271" s="16"/>
    </row>
    <row r="272" ht="14.25" customHeight="1" spans="2:6">
      <c r="B272" s="14"/>
      <c r="C272" s="15"/>
      <c r="E272" s="16"/>
      <c r="F272" s="16"/>
    </row>
    <row r="273" ht="14.25" customHeight="1" spans="2:6">
      <c r="B273" s="14"/>
      <c r="C273" s="15"/>
      <c r="E273" s="16"/>
      <c r="F273" s="16"/>
    </row>
    <row r="274" ht="14.25" customHeight="1" spans="2:6">
      <c r="B274" s="14"/>
      <c r="C274" s="15"/>
      <c r="E274" s="16"/>
      <c r="F274" s="16"/>
    </row>
    <row r="275" ht="14.25" customHeight="1" spans="2:6">
      <c r="B275" s="14"/>
      <c r="C275" s="15"/>
      <c r="E275" s="16"/>
      <c r="F275" s="16"/>
    </row>
    <row r="276" ht="14.25" customHeight="1" spans="2:6">
      <c r="B276" s="14"/>
      <c r="C276" s="15"/>
      <c r="E276" s="16"/>
      <c r="F276" s="16"/>
    </row>
    <row r="277" ht="14.25" customHeight="1" spans="2:6">
      <c r="B277" s="14"/>
      <c r="C277" s="15"/>
      <c r="E277" s="16"/>
      <c r="F277" s="16"/>
    </row>
    <row r="278" ht="14.25" customHeight="1" spans="2:6">
      <c r="B278" s="14"/>
      <c r="C278" s="15"/>
      <c r="E278" s="16"/>
      <c r="F278" s="16"/>
    </row>
    <row r="279" ht="14.25" customHeight="1" spans="2:6">
      <c r="B279" s="14"/>
      <c r="C279" s="15"/>
      <c r="E279" s="16"/>
      <c r="F279" s="16"/>
    </row>
    <row r="280" ht="14.25" customHeight="1" spans="2:6">
      <c r="B280" s="14"/>
      <c r="C280" s="15"/>
      <c r="E280" s="16"/>
      <c r="F280" s="16"/>
    </row>
    <row r="281" ht="14.25" customHeight="1" spans="2:6">
      <c r="B281" s="14"/>
      <c r="C281" s="15"/>
      <c r="E281" s="16"/>
      <c r="F281" s="16"/>
    </row>
    <row r="282" ht="14.25" customHeight="1" spans="2:6">
      <c r="B282" s="14"/>
      <c r="C282" s="15"/>
      <c r="E282" s="16"/>
      <c r="F282" s="16"/>
    </row>
    <row r="283" ht="14.25" customHeight="1" spans="2:6">
      <c r="B283" s="14"/>
      <c r="C283" s="15"/>
      <c r="E283" s="16"/>
      <c r="F283" s="16"/>
    </row>
    <row r="284" ht="14.25" customHeight="1" spans="2:6">
      <c r="B284" s="14"/>
      <c r="C284" s="15"/>
      <c r="E284" s="16"/>
      <c r="F284" s="16"/>
    </row>
    <row r="285" ht="14.25" customHeight="1" spans="2:6">
      <c r="B285" s="14"/>
      <c r="C285" s="15"/>
      <c r="E285" s="16"/>
      <c r="F285" s="16"/>
    </row>
    <row r="286" ht="14.25" customHeight="1" spans="2:6">
      <c r="B286" s="14"/>
      <c r="C286" s="15"/>
      <c r="E286" s="16"/>
      <c r="F286" s="16"/>
    </row>
    <row r="287" ht="14.25" customHeight="1" spans="2:6">
      <c r="B287" s="14"/>
      <c r="C287" s="15"/>
      <c r="E287" s="16"/>
      <c r="F287" s="16"/>
    </row>
    <row r="288" ht="14.25" customHeight="1" spans="2:6">
      <c r="B288" s="14"/>
      <c r="C288" s="15"/>
      <c r="E288" s="16"/>
      <c r="F288" s="16"/>
    </row>
    <row r="289" ht="14.25" customHeight="1" spans="2:6">
      <c r="B289" s="14"/>
      <c r="C289" s="15"/>
      <c r="E289" s="16"/>
      <c r="F289" s="16"/>
    </row>
    <row r="290" ht="14.25" customHeight="1" spans="2:6">
      <c r="B290" s="14"/>
      <c r="C290" s="15"/>
      <c r="E290" s="16"/>
      <c r="F290" s="16"/>
    </row>
    <row r="291" ht="14.25" customHeight="1" spans="2:6">
      <c r="B291" s="14"/>
      <c r="C291" s="15"/>
      <c r="E291" s="16"/>
      <c r="F291" s="16"/>
    </row>
    <row r="292" ht="14.25" customHeight="1" spans="2:6">
      <c r="B292" s="14"/>
      <c r="C292" s="15"/>
      <c r="E292" s="16"/>
      <c r="F292" s="16"/>
    </row>
    <row r="293" ht="14.25" customHeight="1" spans="2:6">
      <c r="B293" s="14"/>
      <c r="C293" s="15"/>
      <c r="E293" s="16"/>
      <c r="F293" s="16"/>
    </row>
    <row r="294" ht="14.25" customHeight="1" spans="2:6">
      <c r="B294" s="14"/>
      <c r="C294" s="15"/>
      <c r="E294" s="16"/>
      <c r="F294" s="16"/>
    </row>
    <row r="295" ht="14.25" customHeight="1" spans="2:6">
      <c r="B295" s="14"/>
      <c r="C295" s="15"/>
      <c r="E295" s="16"/>
      <c r="F295" s="16"/>
    </row>
    <row r="296" ht="14.25" customHeight="1" spans="2:6">
      <c r="B296" s="14"/>
      <c r="C296" s="15"/>
      <c r="E296" s="16"/>
      <c r="F296" s="16"/>
    </row>
    <row r="297" ht="14.25" customHeight="1" spans="2:6">
      <c r="B297" s="14"/>
      <c r="C297" s="15"/>
      <c r="E297" s="16"/>
      <c r="F297" s="16"/>
    </row>
    <row r="298" ht="14.25" customHeight="1" spans="2:6">
      <c r="B298" s="14"/>
      <c r="C298" s="15"/>
      <c r="E298" s="16"/>
      <c r="F298" s="16"/>
    </row>
    <row r="299" ht="14.25" customHeight="1" spans="2:6">
      <c r="B299" s="14"/>
      <c r="C299" s="15"/>
      <c r="E299" s="16"/>
      <c r="F299" s="16"/>
    </row>
    <row r="300" ht="14.25" customHeight="1" spans="2:6">
      <c r="B300" s="14"/>
      <c r="C300" s="15"/>
      <c r="E300" s="16"/>
      <c r="F300" s="16"/>
    </row>
    <row r="301" ht="14.25" customHeight="1" spans="2:6">
      <c r="B301" s="14"/>
      <c r="C301" s="15"/>
      <c r="E301" s="16"/>
      <c r="F301" s="16"/>
    </row>
    <row r="302" ht="14.25" customHeight="1" spans="2:6">
      <c r="B302" s="14"/>
      <c r="C302" s="15"/>
      <c r="E302" s="16"/>
      <c r="F302" s="16"/>
    </row>
    <row r="303" ht="14.25" customHeight="1" spans="2:6">
      <c r="B303" s="14"/>
      <c r="C303" s="15"/>
      <c r="E303" s="16"/>
      <c r="F303" s="16"/>
    </row>
    <row r="304" ht="14.25" customHeight="1" spans="2:6">
      <c r="B304" s="14"/>
      <c r="C304" s="15"/>
      <c r="E304" s="16"/>
      <c r="F304" s="16"/>
    </row>
    <row r="305" ht="14.25" customHeight="1" spans="2:6">
      <c r="B305" s="14"/>
      <c r="C305" s="15"/>
      <c r="E305" s="16"/>
      <c r="F305" s="16"/>
    </row>
    <row r="306" ht="14.25" customHeight="1" spans="2:6">
      <c r="B306" s="14"/>
      <c r="C306" s="15"/>
      <c r="E306" s="16"/>
      <c r="F306" s="16"/>
    </row>
    <row r="307" ht="14.25" customHeight="1" spans="2:6">
      <c r="B307" s="14"/>
      <c r="C307" s="15"/>
      <c r="E307" s="16"/>
      <c r="F307" s="16"/>
    </row>
    <row r="308" ht="14.25" customHeight="1" spans="2:6">
      <c r="B308" s="14"/>
      <c r="C308" s="15"/>
      <c r="E308" s="16"/>
      <c r="F308" s="16"/>
    </row>
    <row r="309" ht="14.25" customHeight="1" spans="2:6">
      <c r="B309" s="14"/>
      <c r="C309" s="15"/>
      <c r="E309" s="16"/>
      <c r="F309" s="16"/>
    </row>
    <row r="310" ht="14.25" customHeight="1" spans="2:6">
      <c r="B310" s="14"/>
      <c r="C310" s="15"/>
      <c r="E310" s="16"/>
      <c r="F310" s="16"/>
    </row>
    <row r="311" ht="14.25" customHeight="1" spans="2:6">
      <c r="B311" s="14"/>
      <c r="C311" s="15"/>
      <c r="E311" s="16"/>
      <c r="F311" s="16"/>
    </row>
    <row r="312" ht="14.25" customHeight="1" spans="2:6">
      <c r="B312" s="14"/>
      <c r="C312" s="15"/>
      <c r="E312" s="16"/>
      <c r="F312" s="16"/>
    </row>
    <row r="313" ht="14.25" customHeight="1" spans="2:6">
      <c r="B313" s="14"/>
      <c r="C313" s="15"/>
      <c r="E313" s="16"/>
      <c r="F313" s="16"/>
    </row>
    <row r="314" ht="14.25" customHeight="1" spans="2:6">
      <c r="B314" s="14"/>
      <c r="C314" s="15"/>
      <c r="E314" s="16"/>
      <c r="F314" s="16"/>
    </row>
    <row r="315" ht="14.25" customHeight="1" spans="2:6">
      <c r="B315" s="14"/>
      <c r="C315" s="15"/>
      <c r="E315" s="16"/>
      <c r="F315" s="16"/>
    </row>
    <row r="316" ht="14.25" customHeight="1" spans="2:6">
      <c r="B316" s="14"/>
      <c r="C316" s="15"/>
      <c r="E316" s="16"/>
      <c r="F316" s="16"/>
    </row>
    <row r="317" ht="14.25" customHeight="1" spans="2:6">
      <c r="B317" s="14"/>
      <c r="C317" s="15"/>
      <c r="E317" s="16"/>
      <c r="F317" s="16"/>
    </row>
    <row r="318" ht="14.25" customHeight="1" spans="2:6">
      <c r="B318" s="14"/>
      <c r="C318" s="15"/>
      <c r="E318" s="16"/>
      <c r="F318" s="16"/>
    </row>
    <row r="319" ht="14.25" customHeight="1" spans="2:6">
      <c r="B319" s="14"/>
      <c r="C319" s="15"/>
      <c r="E319" s="16"/>
      <c r="F319" s="16"/>
    </row>
    <row r="320" ht="14.25" customHeight="1" spans="2:6">
      <c r="B320" s="14"/>
      <c r="C320" s="15"/>
      <c r="E320" s="16"/>
      <c r="F320" s="16"/>
    </row>
    <row r="321" ht="14.25" customHeight="1" spans="2:6">
      <c r="B321" s="14"/>
      <c r="C321" s="15"/>
      <c r="E321" s="16"/>
      <c r="F321" s="16"/>
    </row>
    <row r="322" ht="14.25" customHeight="1" spans="2:6">
      <c r="B322" s="14"/>
      <c r="C322" s="15"/>
      <c r="E322" s="16"/>
      <c r="F322" s="16"/>
    </row>
    <row r="323" ht="14.25" customHeight="1" spans="2:6">
      <c r="B323" s="14"/>
      <c r="C323" s="15"/>
      <c r="E323" s="16"/>
      <c r="F323" s="16"/>
    </row>
    <row r="324" ht="14.25" customHeight="1" spans="2:6">
      <c r="B324" s="14"/>
      <c r="C324" s="15"/>
      <c r="E324" s="16"/>
      <c r="F324" s="16"/>
    </row>
    <row r="325" ht="14.25" customHeight="1" spans="2:6">
      <c r="B325" s="14"/>
      <c r="C325" s="15"/>
      <c r="E325" s="16"/>
      <c r="F325" s="16"/>
    </row>
    <row r="326" ht="14.25" customHeight="1" spans="2:6">
      <c r="B326" s="14"/>
      <c r="C326" s="15"/>
      <c r="E326" s="16"/>
      <c r="F326" s="16"/>
    </row>
    <row r="327" ht="14.25" customHeight="1" spans="2:6">
      <c r="B327" s="14"/>
      <c r="C327" s="15"/>
      <c r="E327" s="16"/>
      <c r="F327" s="16"/>
    </row>
    <row r="328" ht="14.25" customHeight="1" spans="2:6">
      <c r="B328" s="14"/>
      <c r="C328" s="15"/>
      <c r="E328" s="16"/>
      <c r="F328" s="16"/>
    </row>
    <row r="329" ht="14.25" customHeight="1" spans="2:6">
      <c r="B329" s="14"/>
      <c r="C329" s="15"/>
      <c r="E329" s="16"/>
      <c r="F329" s="16"/>
    </row>
    <row r="330" ht="14.25" customHeight="1" spans="2:6">
      <c r="B330" s="14"/>
      <c r="C330" s="15"/>
      <c r="E330" s="16"/>
      <c r="F330" s="16"/>
    </row>
    <row r="331" ht="14.25" customHeight="1" spans="2:6">
      <c r="B331" s="14"/>
      <c r="C331" s="15"/>
      <c r="E331" s="16"/>
      <c r="F331" s="16"/>
    </row>
    <row r="332" ht="14.25" customHeight="1" spans="2:6">
      <c r="B332" s="14"/>
      <c r="C332" s="15"/>
      <c r="E332" s="16"/>
      <c r="F332" s="16"/>
    </row>
    <row r="333" ht="14.25" customHeight="1" spans="2:6">
      <c r="B333" s="14"/>
      <c r="C333" s="15"/>
      <c r="E333" s="16"/>
      <c r="F333" s="16"/>
    </row>
    <row r="334" ht="14.25" customHeight="1" spans="2:6">
      <c r="B334" s="14"/>
      <c r="C334" s="15"/>
      <c r="E334" s="16"/>
      <c r="F334" s="16"/>
    </row>
    <row r="335" ht="14.25" customHeight="1" spans="2:6">
      <c r="B335" s="14"/>
      <c r="C335" s="15"/>
      <c r="E335" s="16"/>
      <c r="F335" s="16"/>
    </row>
    <row r="336" ht="14.25" customHeight="1" spans="2:6">
      <c r="B336" s="14"/>
      <c r="C336" s="15"/>
      <c r="E336" s="16"/>
      <c r="F336" s="16"/>
    </row>
    <row r="337" ht="14.25" customHeight="1" spans="2:6">
      <c r="B337" s="14"/>
      <c r="C337" s="15"/>
      <c r="E337" s="16"/>
      <c r="F337" s="16"/>
    </row>
    <row r="338" ht="14.25" customHeight="1" spans="2:6">
      <c r="B338" s="14"/>
      <c r="C338" s="15"/>
      <c r="E338" s="16"/>
      <c r="F338" s="16"/>
    </row>
    <row r="339" ht="14.25" customHeight="1" spans="2:6">
      <c r="B339" s="14"/>
      <c r="C339" s="15"/>
      <c r="E339" s="16"/>
      <c r="F339" s="16"/>
    </row>
    <row r="340" ht="14.25" customHeight="1" spans="2:6">
      <c r="B340" s="14"/>
      <c r="C340" s="15"/>
      <c r="E340" s="16"/>
      <c r="F340" s="16"/>
    </row>
    <row r="341" ht="14.25" customHeight="1" spans="2:6">
      <c r="B341" s="14"/>
      <c r="C341" s="15"/>
      <c r="E341" s="16"/>
      <c r="F341" s="16"/>
    </row>
    <row r="342" ht="14.25" customHeight="1" spans="2:6">
      <c r="B342" s="14"/>
      <c r="C342" s="15"/>
      <c r="E342" s="16"/>
      <c r="F342" s="16"/>
    </row>
    <row r="343" ht="14.25" customHeight="1" spans="2:6">
      <c r="B343" s="14"/>
      <c r="C343" s="15"/>
      <c r="E343" s="16"/>
      <c r="F343" s="16"/>
    </row>
    <row r="344" ht="14.25" customHeight="1" spans="2:6">
      <c r="B344" s="14"/>
      <c r="C344" s="15"/>
      <c r="E344" s="16"/>
      <c r="F344" s="16"/>
    </row>
    <row r="345" ht="14.25" customHeight="1" spans="2:6">
      <c r="B345" s="14"/>
      <c r="C345" s="15"/>
      <c r="E345" s="16"/>
      <c r="F345" s="16"/>
    </row>
    <row r="346" ht="14.25" customHeight="1" spans="2:6">
      <c r="B346" s="14"/>
      <c r="C346" s="15"/>
      <c r="E346" s="16"/>
      <c r="F346" s="16"/>
    </row>
    <row r="347" ht="14.25" customHeight="1" spans="2:6">
      <c r="B347" s="14"/>
      <c r="C347" s="15"/>
      <c r="E347" s="16"/>
      <c r="F347" s="16"/>
    </row>
    <row r="348" ht="14.25" customHeight="1" spans="2:6">
      <c r="B348" s="14"/>
      <c r="C348" s="15"/>
      <c r="E348" s="16"/>
      <c r="F348" s="16"/>
    </row>
    <row r="349" ht="14.25" customHeight="1" spans="2:6">
      <c r="B349" s="14"/>
      <c r="C349" s="15"/>
      <c r="E349" s="16"/>
      <c r="F349" s="16"/>
    </row>
    <row r="350" ht="14.25" customHeight="1" spans="2:6">
      <c r="B350" s="14"/>
      <c r="C350" s="15"/>
      <c r="E350" s="16"/>
      <c r="F350" s="16"/>
    </row>
    <row r="351" ht="14.25" customHeight="1" spans="2:6">
      <c r="B351" s="14"/>
      <c r="C351" s="15"/>
      <c r="E351" s="16"/>
      <c r="F351" s="16"/>
    </row>
    <row r="352" ht="14.25" customHeight="1" spans="2:6">
      <c r="B352" s="14"/>
      <c r="C352" s="15"/>
      <c r="E352" s="16"/>
      <c r="F352" s="16"/>
    </row>
    <row r="353" ht="14.25" customHeight="1" spans="2:6">
      <c r="B353" s="14"/>
      <c r="C353" s="15"/>
      <c r="E353" s="16"/>
      <c r="F353" s="16"/>
    </row>
    <row r="354" ht="14.25" customHeight="1" spans="2:6">
      <c r="B354" s="14"/>
      <c r="C354" s="15"/>
      <c r="E354" s="16"/>
      <c r="F354" s="16"/>
    </row>
    <row r="355" ht="14.25" customHeight="1" spans="2:6">
      <c r="B355" s="14"/>
      <c r="C355" s="15"/>
      <c r="E355" s="16"/>
      <c r="F355" s="16"/>
    </row>
    <row r="356" ht="14.25" customHeight="1" spans="2:6">
      <c r="B356" s="14"/>
      <c r="C356" s="15"/>
      <c r="E356" s="16"/>
      <c r="F356" s="16"/>
    </row>
    <row r="357" ht="14.25" customHeight="1" spans="2:6">
      <c r="B357" s="14"/>
      <c r="C357" s="15"/>
      <c r="E357" s="16"/>
      <c r="F357" s="16"/>
    </row>
    <row r="358" ht="14.25" customHeight="1" spans="2:6">
      <c r="B358" s="14"/>
      <c r="C358" s="15"/>
      <c r="E358" s="16"/>
      <c r="F358" s="16"/>
    </row>
    <row r="359" ht="14.25" customHeight="1" spans="2:6">
      <c r="B359" s="14"/>
      <c r="C359" s="15"/>
      <c r="E359" s="16"/>
      <c r="F359" s="16"/>
    </row>
    <row r="360" ht="14.25" customHeight="1" spans="2:6">
      <c r="B360" s="14"/>
      <c r="C360" s="15"/>
      <c r="E360" s="16"/>
      <c r="F360" s="16"/>
    </row>
    <row r="361" ht="14.25" customHeight="1" spans="2:6">
      <c r="B361" s="14"/>
      <c r="C361" s="15"/>
      <c r="E361" s="16"/>
      <c r="F361" s="16"/>
    </row>
    <row r="362" ht="14.25" customHeight="1" spans="2:6">
      <c r="B362" s="14"/>
      <c r="C362" s="15"/>
      <c r="E362" s="16"/>
      <c r="F362" s="16"/>
    </row>
    <row r="363" ht="14.25" customHeight="1" spans="2:6">
      <c r="B363" s="14"/>
      <c r="C363" s="15"/>
      <c r="E363" s="16"/>
      <c r="F363" s="16"/>
    </row>
    <row r="364" ht="14.25" customHeight="1" spans="2:6">
      <c r="B364" s="14"/>
      <c r="C364" s="15"/>
      <c r="E364" s="16"/>
      <c r="F364" s="16"/>
    </row>
    <row r="365" ht="14.25" customHeight="1" spans="2:6">
      <c r="B365" s="14"/>
      <c r="C365" s="15"/>
      <c r="E365" s="16"/>
      <c r="F365" s="16"/>
    </row>
    <row r="366" ht="14.25" customHeight="1" spans="2:6">
      <c r="B366" s="14"/>
      <c r="C366" s="15"/>
      <c r="E366" s="16"/>
      <c r="F366" s="16"/>
    </row>
    <row r="367" ht="14.25" customHeight="1" spans="2:6">
      <c r="B367" s="14"/>
      <c r="C367" s="15"/>
      <c r="E367" s="16"/>
      <c r="F367" s="16"/>
    </row>
    <row r="368" ht="14.25" customHeight="1" spans="2:6">
      <c r="B368" s="14"/>
      <c r="C368" s="15"/>
      <c r="E368" s="16"/>
      <c r="F368" s="16"/>
    </row>
    <row r="369" ht="14.25" customHeight="1" spans="2:6">
      <c r="B369" s="14"/>
      <c r="C369" s="15"/>
      <c r="E369" s="16"/>
      <c r="F369" s="16"/>
    </row>
    <row r="370" ht="14.25" customHeight="1" spans="2:6">
      <c r="B370" s="14"/>
      <c r="C370" s="15"/>
      <c r="E370" s="16"/>
      <c r="F370" s="16"/>
    </row>
    <row r="371" ht="14.25" customHeight="1" spans="2:6">
      <c r="B371" s="14"/>
      <c r="C371" s="15"/>
      <c r="E371" s="16"/>
      <c r="F371" s="16"/>
    </row>
    <row r="372" ht="14.25" customHeight="1" spans="2:6">
      <c r="B372" s="14"/>
      <c r="C372" s="15"/>
      <c r="E372" s="16"/>
      <c r="F372" s="16"/>
    </row>
    <row r="373" ht="14.25" customHeight="1" spans="2:6">
      <c r="B373" s="14"/>
      <c r="C373" s="15"/>
      <c r="E373" s="16"/>
      <c r="F373" s="16"/>
    </row>
    <row r="374" ht="14.25" customHeight="1" spans="2:6">
      <c r="B374" s="14"/>
      <c r="C374" s="15"/>
      <c r="E374" s="16"/>
      <c r="F374" s="16"/>
    </row>
    <row r="375" ht="14.25" customHeight="1" spans="2:6">
      <c r="B375" s="14"/>
      <c r="C375" s="15"/>
      <c r="E375" s="16"/>
      <c r="F375" s="16"/>
    </row>
    <row r="376" ht="14.25" customHeight="1" spans="2:6">
      <c r="B376" s="14"/>
      <c r="C376" s="15"/>
      <c r="E376" s="16"/>
      <c r="F376" s="16"/>
    </row>
    <row r="377" ht="14.25" customHeight="1" spans="2:6">
      <c r="B377" s="14"/>
      <c r="C377" s="15"/>
      <c r="E377" s="16"/>
      <c r="F377" s="16"/>
    </row>
    <row r="378" ht="14.25" customHeight="1" spans="2:6">
      <c r="B378" s="14"/>
      <c r="C378" s="15"/>
      <c r="E378" s="16"/>
      <c r="F378" s="16"/>
    </row>
    <row r="379" ht="14.25" customHeight="1" spans="2:6">
      <c r="B379" s="14"/>
      <c r="C379" s="15"/>
      <c r="E379" s="16"/>
      <c r="F379" s="16"/>
    </row>
    <row r="380" ht="14.25" customHeight="1" spans="2:6">
      <c r="B380" s="14"/>
      <c r="C380" s="15"/>
      <c r="E380" s="16"/>
      <c r="F380" s="16"/>
    </row>
    <row r="381" ht="14.25" customHeight="1" spans="2:6">
      <c r="B381" s="14"/>
      <c r="C381" s="15"/>
      <c r="E381" s="16"/>
      <c r="F381" s="16"/>
    </row>
    <row r="382" ht="14.25" customHeight="1" spans="2:6">
      <c r="B382" s="14"/>
      <c r="C382" s="15"/>
      <c r="E382" s="16"/>
      <c r="F382" s="16"/>
    </row>
    <row r="383" ht="14.25" customHeight="1" spans="2:6">
      <c r="B383" s="14"/>
      <c r="C383" s="15"/>
      <c r="E383" s="16"/>
      <c r="F383" s="16"/>
    </row>
    <row r="384" ht="14.25" customHeight="1" spans="2:6">
      <c r="B384" s="14"/>
      <c r="C384" s="15"/>
      <c r="E384" s="16"/>
      <c r="F384" s="16"/>
    </row>
    <row r="385" ht="14.25" customHeight="1" spans="2:6">
      <c r="B385" s="14"/>
      <c r="C385" s="15"/>
      <c r="E385" s="16"/>
      <c r="F385" s="16"/>
    </row>
    <row r="386" ht="14.25" customHeight="1" spans="2:6">
      <c r="B386" s="14"/>
      <c r="C386" s="15"/>
      <c r="E386" s="16"/>
      <c r="F386" s="16"/>
    </row>
    <row r="387" ht="14.25" customHeight="1" spans="2:6">
      <c r="B387" s="14"/>
      <c r="C387" s="15"/>
      <c r="E387" s="16"/>
      <c r="F387" s="16"/>
    </row>
    <row r="388" ht="14.25" customHeight="1" spans="2:6">
      <c r="B388" s="14"/>
      <c r="C388" s="15"/>
      <c r="E388" s="16"/>
      <c r="F388" s="16"/>
    </row>
    <row r="389" ht="14.25" customHeight="1" spans="2:6">
      <c r="B389" s="14"/>
      <c r="C389" s="15"/>
      <c r="E389" s="16"/>
      <c r="F389" s="16"/>
    </row>
    <row r="390" ht="14.25" customHeight="1" spans="2:6">
      <c r="B390" s="14"/>
      <c r="C390" s="15"/>
      <c r="E390" s="16"/>
      <c r="F390" s="16"/>
    </row>
    <row r="391" ht="14.25" customHeight="1" spans="2:6">
      <c r="B391" s="14"/>
      <c r="C391" s="15"/>
      <c r="E391" s="16"/>
      <c r="F391" s="16"/>
    </row>
    <row r="392" ht="14.25" customHeight="1" spans="2:6">
      <c r="B392" s="14"/>
      <c r="C392" s="15"/>
      <c r="E392" s="16"/>
      <c r="F392" s="16"/>
    </row>
    <row r="393" ht="14.25" customHeight="1" spans="2:6">
      <c r="B393" s="14"/>
      <c r="C393" s="15"/>
      <c r="E393" s="16"/>
      <c r="F393" s="16"/>
    </row>
    <row r="394" ht="14.25" customHeight="1" spans="2:6">
      <c r="B394" s="14"/>
      <c r="C394" s="15"/>
      <c r="E394" s="16"/>
      <c r="F394" s="16"/>
    </row>
    <row r="395" ht="14.25" customHeight="1" spans="2:6">
      <c r="B395" s="14"/>
      <c r="C395" s="15"/>
      <c r="E395" s="16"/>
      <c r="F395" s="16"/>
    </row>
    <row r="396" ht="14.25" customHeight="1" spans="2:6">
      <c r="B396" s="14"/>
      <c r="C396" s="15"/>
      <c r="E396" s="16"/>
      <c r="F396" s="16"/>
    </row>
    <row r="397" ht="14.25" customHeight="1" spans="2:6">
      <c r="B397" s="14"/>
      <c r="C397" s="15"/>
      <c r="E397" s="16"/>
      <c r="F397" s="16"/>
    </row>
    <row r="398" ht="14.25" customHeight="1" spans="2:6">
      <c r="B398" s="14"/>
      <c r="C398" s="15"/>
      <c r="E398" s="16"/>
      <c r="F398" s="16"/>
    </row>
    <row r="399" ht="14.25" customHeight="1" spans="2:6">
      <c r="B399" s="14"/>
      <c r="C399" s="15"/>
      <c r="E399" s="16"/>
      <c r="F399" s="16"/>
    </row>
    <row r="400" ht="14.25" customHeight="1" spans="2:6">
      <c r="B400" s="14"/>
      <c r="C400" s="15"/>
      <c r="E400" s="16"/>
      <c r="F400" s="16"/>
    </row>
    <row r="401" ht="14.25" customHeight="1" spans="2:6">
      <c r="B401" s="14"/>
      <c r="C401" s="15"/>
      <c r="E401" s="16"/>
      <c r="F401" s="16"/>
    </row>
    <row r="402" ht="14.25" customHeight="1" spans="2:6">
      <c r="B402" s="14"/>
      <c r="C402" s="15"/>
      <c r="E402" s="16"/>
      <c r="F402" s="16"/>
    </row>
    <row r="403" ht="14.25" customHeight="1" spans="2:6">
      <c r="B403" s="14"/>
      <c r="C403" s="15"/>
      <c r="E403" s="16"/>
      <c r="F403" s="16"/>
    </row>
    <row r="404" ht="14.25" customHeight="1" spans="2:6">
      <c r="B404" s="14"/>
      <c r="C404" s="15"/>
      <c r="E404" s="16"/>
      <c r="F404" s="16"/>
    </row>
    <row r="405" ht="14.25" customHeight="1" spans="2:6">
      <c r="B405" s="14"/>
      <c r="C405" s="15"/>
      <c r="E405" s="16"/>
      <c r="F405" s="16"/>
    </row>
    <row r="406" ht="14.25" customHeight="1" spans="2:6">
      <c r="B406" s="14"/>
      <c r="C406" s="15"/>
      <c r="E406" s="16"/>
      <c r="F406" s="16"/>
    </row>
    <row r="407" ht="14.25" customHeight="1" spans="2:6">
      <c r="B407" s="14"/>
      <c r="C407" s="15"/>
      <c r="E407" s="16"/>
      <c r="F407" s="16"/>
    </row>
    <row r="408" ht="14.25" customHeight="1" spans="2:6">
      <c r="B408" s="14"/>
      <c r="C408" s="15"/>
      <c r="E408" s="16"/>
      <c r="F408" s="16"/>
    </row>
    <row r="409" ht="14.25" customHeight="1" spans="2:6">
      <c r="B409" s="14"/>
      <c r="C409" s="15"/>
      <c r="E409" s="16"/>
      <c r="F409" s="16"/>
    </row>
    <row r="410" ht="14.25" customHeight="1" spans="2:6">
      <c r="B410" s="14"/>
      <c r="C410" s="15"/>
      <c r="E410" s="16"/>
      <c r="F410" s="16"/>
    </row>
    <row r="411" ht="14.25" customHeight="1" spans="2:6">
      <c r="B411" s="14"/>
      <c r="C411" s="15"/>
      <c r="E411" s="16"/>
      <c r="F411" s="16"/>
    </row>
    <row r="412" ht="14.25" customHeight="1" spans="2:6">
      <c r="B412" s="14"/>
      <c r="C412" s="15"/>
      <c r="E412" s="16"/>
      <c r="F412" s="16"/>
    </row>
    <row r="413" ht="14.25" customHeight="1" spans="2:6">
      <c r="B413" s="14"/>
      <c r="C413" s="15"/>
      <c r="E413" s="16"/>
      <c r="F413" s="16"/>
    </row>
    <row r="414" ht="14.25" customHeight="1" spans="2:6">
      <c r="B414" s="14"/>
      <c r="C414" s="15"/>
      <c r="E414" s="16"/>
      <c r="F414" s="16"/>
    </row>
    <row r="415" ht="14.25" customHeight="1" spans="2:6">
      <c r="B415" s="14"/>
      <c r="C415" s="15"/>
      <c r="E415" s="16"/>
      <c r="F415" s="16"/>
    </row>
    <row r="416" ht="14.25" customHeight="1" spans="2:6">
      <c r="B416" s="14"/>
      <c r="C416" s="15"/>
      <c r="E416" s="16"/>
      <c r="F416" s="16"/>
    </row>
    <row r="417" ht="14.25" customHeight="1" spans="2:6">
      <c r="B417" s="14"/>
      <c r="C417" s="15"/>
      <c r="E417" s="16"/>
      <c r="F417" s="16"/>
    </row>
    <row r="418" ht="14.25" customHeight="1" spans="2:6">
      <c r="B418" s="14"/>
      <c r="C418" s="15"/>
      <c r="E418" s="16"/>
      <c r="F418" s="16"/>
    </row>
    <row r="419" ht="14.25" customHeight="1" spans="2:6">
      <c r="B419" s="14"/>
      <c r="C419" s="15"/>
      <c r="E419" s="16"/>
      <c r="F419" s="16"/>
    </row>
    <row r="420" ht="14.25" customHeight="1" spans="2:6">
      <c r="B420" s="14"/>
      <c r="C420" s="15"/>
      <c r="E420" s="16"/>
      <c r="F420" s="16"/>
    </row>
    <row r="421" ht="14.25" customHeight="1" spans="2:6">
      <c r="B421" s="14"/>
      <c r="C421" s="15"/>
      <c r="E421" s="16"/>
      <c r="F421" s="16"/>
    </row>
    <row r="422" ht="14.25" customHeight="1" spans="2:6">
      <c r="B422" s="14"/>
      <c r="C422" s="15"/>
      <c r="E422" s="16"/>
      <c r="F422" s="16"/>
    </row>
    <row r="423" ht="14.25" customHeight="1" spans="2:6">
      <c r="B423" s="14"/>
      <c r="C423" s="15"/>
      <c r="E423" s="16"/>
      <c r="F423" s="16"/>
    </row>
    <row r="424" ht="14.25" customHeight="1" spans="2:6">
      <c r="B424" s="14"/>
      <c r="C424" s="15"/>
      <c r="E424" s="16"/>
      <c r="F424" s="16"/>
    </row>
    <row r="425" ht="14.25" customHeight="1" spans="2:6">
      <c r="B425" s="14"/>
      <c r="C425" s="15"/>
      <c r="E425" s="16"/>
      <c r="F425" s="16"/>
    </row>
    <row r="426" ht="14.25" customHeight="1" spans="2:6">
      <c r="B426" s="14"/>
      <c r="C426" s="15"/>
      <c r="E426" s="16"/>
      <c r="F426" s="16"/>
    </row>
    <row r="427" ht="14.25" customHeight="1" spans="2:6">
      <c r="B427" s="14"/>
      <c r="C427" s="15"/>
      <c r="E427" s="16"/>
      <c r="F427" s="16"/>
    </row>
    <row r="428" ht="14.25" customHeight="1" spans="2:6">
      <c r="B428" s="14"/>
      <c r="C428" s="15"/>
      <c r="E428" s="16"/>
      <c r="F428" s="16"/>
    </row>
    <row r="429" ht="14.25" customHeight="1" spans="2:6">
      <c r="B429" s="14"/>
      <c r="C429" s="15"/>
      <c r="E429" s="16"/>
      <c r="F429" s="16"/>
    </row>
    <row r="430" ht="14.25" customHeight="1" spans="2:6">
      <c r="B430" s="14"/>
      <c r="C430" s="15"/>
      <c r="E430" s="16"/>
      <c r="F430" s="16"/>
    </row>
    <row r="431" ht="14.25" customHeight="1" spans="2:6">
      <c r="B431" s="14"/>
      <c r="C431" s="15"/>
      <c r="E431" s="16"/>
      <c r="F431" s="16"/>
    </row>
    <row r="432" ht="14.25" customHeight="1" spans="2:6">
      <c r="B432" s="14"/>
      <c r="C432" s="15"/>
      <c r="E432" s="16"/>
      <c r="F432" s="16"/>
    </row>
    <row r="433" ht="14.25" customHeight="1" spans="2:6">
      <c r="B433" s="14"/>
      <c r="C433" s="15"/>
      <c r="E433" s="16"/>
      <c r="F433" s="16"/>
    </row>
    <row r="434" ht="14.25" customHeight="1" spans="2:6">
      <c r="B434" s="14"/>
      <c r="C434" s="15"/>
      <c r="E434" s="16"/>
      <c r="F434" s="16"/>
    </row>
    <row r="435" ht="14.25" customHeight="1" spans="2:6">
      <c r="B435" s="14"/>
      <c r="C435" s="15"/>
      <c r="E435" s="16"/>
      <c r="F435" s="16"/>
    </row>
    <row r="436" ht="14.25" customHeight="1" spans="2:6">
      <c r="B436" s="14"/>
      <c r="C436" s="15"/>
      <c r="E436" s="16"/>
      <c r="F436" s="16"/>
    </row>
    <row r="437" ht="14.25" customHeight="1" spans="2:6">
      <c r="B437" s="14"/>
      <c r="C437" s="15"/>
      <c r="E437" s="16"/>
      <c r="F437" s="16"/>
    </row>
    <row r="438" ht="14.25" customHeight="1" spans="2:6">
      <c r="B438" s="14"/>
      <c r="C438" s="15"/>
      <c r="E438" s="16"/>
      <c r="F438" s="16"/>
    </row>
    <row r="439" ht="14.25" customHeight="1" spans="2:6">
      <c r="B439" s="14"/>
      <c r="C439" s="15"/>
      <c r="E439" s="16"/>
      <c r="F439" s="16"/>
    </row>
    <row r="440" ht="14.25" customHeight="1" spans="2:6">
      <c r="B440" s="14"/>
      <c r="C440" s="15"/>
      <c r="E440" s="16"/>
      <c r="F440" s="16"/>
    </row>
    <row r="441" ht="14.25" customHeight="1" spans="2:6">
      <c r="B441" s="14"/>
      <c r="C441" s="15"/>
      <c r="E441" s="16"/>
      <c r="F441" s="16"/>
    </row>
    <row r="442" ht="14.25" customHeight="1" spans="2:6">
      <c r="B442" s="14"/>
      <c r="C442" s="15"/>
      <c r="E442" s="16"/>
      <c r="F442" s="16"/>
    </row>
    <row r="443" ht="14.25" customHeight="1" spans="2:6">
      <c r="B443" s="14"/>
      <c r="C443" s="15"/>
      <c r="E443" s="16"/>
      <c r="F443" s="16"/>
    </row>
    <row r="444" ht="14.25" customHeight="1" spans="2:6">
      <c r="B444" s="14"/>
      <c r="C444" s="15"/>
      <c r="E444" s="16"/>
      <c r="F444" s="16"/>
    </row>
    <row r="445" ht="14.25" customHeight="1" spans="2:6">
      <c r="B445" s="14"/>
      <c r="C445" s="15"/>
      <c r="E445" s="16"/>
      <c r="F445" s="16"/>
    </row>
    <row r="446" ht="14.25" customHeight="1" spans="2:6">
      <c r="B446" s="14"/>
      <c r="C446" s="15"/>
      <c r="E446" s="16"/>
      <c r="F446" s="16"/>
    </row>
    <row r="447" ht="14.25" customHeight="1" spans="2:6">
      <c r="B447" s="14"/>
      <c r="C447" s="15"/>
      <c r="E447" s="16"/>
      <c r="F447" s="16"/>
    </row>
    <row r="448" ht="14.25" customHeight="1" spans="2:6">
      <c r="B448" s="14"/>
      <c r="C448" s="15"/>
      <c r="E448" s="16"/>
      <c r="F448" s="16"/>
    </row>
    <row r="449" ht="14.25" customHeight="1" spans="2:6">
      <c r="B449" s="14"/>
      <c r="C449" s="15"/>
      <c r="E449" s="16"/>
      <c r="F449" s="16"/>
    </row>
    <row r="450" ht="14.25" customHeight="1" spans="2:6">
      <c r="B450" s="14"/>
      <c r="C450" s="15"/>
      <c r="E450" s="16"/>
      <c r="F450" s="16"/>
    </row>
    <row r="451" ht="14.25" customHeight="1" spans="2:6">
      <c r="B451" s="14"/>
      <c r="C451" s="15"/>
      <c r="E451" s="16"/>
      <c r="F451" s="16"/>
    </row>
    <row r="452" ht="14.25" customHeight="1" spans="2:6">
      <c r="B452" s="14"/>
      <c r="C452" s="15"/>
      <c r="E452" s="16"/>
      <c r="F452" s="16"/>
    </row>
    <row r="453" ht="14.25" customHeight="1" spans="2:6">
      <c r="B453" s="14"/>
      <c r="C453" s="15"/>
      <c r="E453" s="16"/>
      <c r="F453" s="16"/>
    </row>
    <row r="454" ht="14.25" customHeight="1" spans="2:6">
      <c r="B454" s="14"/>
      <c r="C454" s="15"/>
      <c r="E454" s="16"/>
      <c r="F454" s="16"/>
    </row>
    <row r="455" ht="14.25" customHeight="1" spans="2:6">
      <c r="B455" s="14"/>
      <c r="C455" s="15"/>
      <c r="E455" s="16"/>
      <c r="F455" s="16"/>
    </row>
    <row r="456" ht="14.25" customHeight="1" spans="2:6">
      <c r="B456" s="14"/>
      <c r="C456" s="15"/>
      <c r="E456" s="16"/>
      <c r="F456" s="16"/>
    </row>
    <row r="457" ht="14.25" customHeight="1" spans="2:6">
      <c r="B457" s="14"/>
      <c r="C457" s="15"/>
      <c r="E457" s="16"/>
      <c r="F457" s="16"/>
    </row>
    <row r="458" ht="14.25" customHeight="1" spans="2:6">
      <c r="B458" s="14"/>
      <c r="C458" s="15"/>
      <c r="E458" s="16"/>
      <c r="F458" s="16"/>
    </row>
    <row r="459" ht="14.25" customHeight="1" spans="2:6">
      <c r="B459" s="14"/>
      <c r="C459" s="15"/>
      <c r="E459" s="16"/>
      <c r="F459" s="16"/>
    </row>
    <row r="460" ht="14.25" customHeight="1" spans="2:6">
      <c r="B460" s="14"/>
      <c r="C460" s="15"/>
      <c r="E460" s="16"/>
      <c r="F460" s="16"/>
    </row>
    <row r="461" ht="14.25" customHeight="1" spans="2:6">
      <c r="B461" s="14"/>
      <c r="C461" s="15"/>
      <c r="E461" s="16"/>
      <c r="F461" s="16"/>
    </row>
    <row r="462" ht="14.25" customHeight="1" spans="2:6">
      <c r="B462" s="14"/>
      <c r="C462" s="15"/>
      <c r="E462" s="16"/>
      <c r="F462" s="16"/>
    </row>
    <row r="463" ht="14.25" customHeight="1" spans="2:6">
      <c r="B463" s="14"/>
      <c r="C463" s="15"/>
      <c r="E463" s="16"/>
      <c r="F463" s="16"/>
    </row>
    <row r="464" ht="14.25" customHeight="1" spans="2:6">
      <c r="B464" s="14"/>
      <c r="C464" s="15"/>
      <c r="E464" s="16"/>
      <c r="F464" s="16"/>
    </row>
    <row r="465" ht="14.25" customHeight="1" spans="2:6">
      <c r="B465" s="14"/>
      <c r="C465" s="15"/>
      <c r="E465" s="16"/>
      <c r="F465" s="16"/>
    </row>
    <row r="466" ht="14.25" customHeight="1" spans="2:6">
      <c r="B466" s="14"/>
      <c r="C466" s="15"/>
      <c r="E466" s="16"/>
      <c r="F466" s="16"/>
    </row>
    <row r="467" ht="14.25" customHeight="1" spans="2:6">
      <c r="B467" s="14"/>
      <c r="C467" s="15"/>
      <c r="E467" s="16"/>
      <c r="F467" s="16"/>
    </row>
    <row r="468" ht="14.25" customHeight="1" spans="2:6">
      <c r="B468" s="14"/>
      <c r="C468" s="15"/>
      <c r="E468" s="16"/>
      <c r="F468" s="16"/>
    </row>
    <row r="469" ht="14.25" customHeight="1" spans="2:6">
      <c r="B469" s="14"/>
      <c r="C469" s="15"/>
      <c r="E469" s="16"/>
      <c r="F469" s="16"/>
    </row>
    <row r="470" ht="14.25" customHeight="1" spans="2:6">
      <c r="B470" s="14"/>
      <c r="C470" s="15"/>
      <c r="E470" s="16"/>
      <c r="F470" s="16"/>
    </row>
    <row r="471" ht="14.25" customHeight="1" spans="2:6">
      <c r="B471" s="14"/>
      <c r="C471" s="15"/>
      <c r="E471" s="16"/>
      <c r="F471" s="16"/>
    </row>
    <row r="472" ht="14.25" customHeight="1" spans="2:6">
      <c r="B472" s="14"/>
      <c r="C472" s="15"/>
      <c r="E472" s="16"/>
      <c r="F472" s="16"/>
    </row>
    <row r="473" ht="14.25" customHeight="1" spans="2:6">
      <c r="B473" s="14"/>
      <c r="C473" s="15"/>
      <c r="E473" s="16"/>
      <c r="F473" s="16"/>
    </row>
    <row r="474" ht="14.25" customHeight="1" spans="2:6">
      <c r="B474" s="14"/>
      <c r="C474" s="15"/>
      <c r="E474" s="16"/>
      <c r="F474" s="16"/>
    </row>
    <row r="475" ht="14.25" customHeight="1" spans="2:6">
      <c r="B475" s="14"/>
      <c r="C475" s="15"/>
      <c r="E475" s="16"/>
      <c r="F475" s="16"/>
    </row>
    <row r="476" ht="14.25" customHeight="1" spans="2:6">
      <c r="B476" s="14"/>
      <c r="C476" s="15"/>
      <c r="E476" s="16"/>
      <c r="F476" s="16"/>
    </row>
    <row r="477" ht="14.25" customHeight="1" spans="2:6">
      <c r="B477" s="14"/>
      <c r="C477" s="15"/>
      <c r="E477" s="16"/>
      <c r="F477" s="16"/>
    </row>
    <row r="478" ht="14.25" customHeight="1" spans="2:6">
      <c r="B478" s="14"/>
      <c r="C478" s="15"/>
      <c r="E478" s="16"/>
      <c r="F478" s="16"/>
    </row>
    <row r="479" ht="14.25" customHeight="1" spans="2:6">
      <c r="B479" s="14"/>
      <c r="C479" s="15"/>
      <c r="E479" s="16"/>
      <c r="F479" s="16"/>
    </row>
    <row r="480" ht="14.25" customHeight="1" spans="2:6">
      <c r="B480" s="14"/>
      <c r="C480" s="15"/>
      <c r="E480" s="16"/>
      <c r="F480" s="16"/>
    </row>
    <row r="481" ht="14.25" customHeight="1" spans="2:6">
      <c r="B481" s="14"/>
      <c r="C481" s="15"/>
      <c r="E481" s="16"/>
      <c r="F481" s="16"/>
    </row>
    <row r="482" ht="14.25" customHeight="1" spans="2:6">
      <c r="B482" s="14"/>
      <c r="C482" s="15"/>
      <c r="E482" s="16"/>
      <c r="F482" s="16"/>
    </row>
    <row r="483" ht="14.25" customHeight="1" spans="2:6">
      <c r="B483" s="14"/>
      <c r="C483" s="15"/>
      <c r="E483" s="16"/>
      <c r="F483" s="16"/>
    </row>
    <row r="484" ht="14.25" customHeight="1" spans="2:6">
      <c r="B484" s="14"/>
      <c r="C484" s="15"/>
      <c r="E484" s="16"/>
      <c r="F484" s="16"/>
    </row>
    <row r="485" ht="14.25" customHeight="1" spans="2:6">
      <c r="B485" s="14"/>
      <c r="C485" s="15"/>
      <c r="E485" s="16"/>
      <c r="F485" s="16"/>
    </row>
    <row r="486" ht="14.25" customHeight="1" spans="2:6">
      <c r="B486" s="14"/>
      <c r="C486" s="15"/>
      <c r="E486" s="16"/>
      <c r="F486" s="16"/>
    </row>
    <row r="487" ht="14.25" customHeight="1" spans="2:6">
      <c r="B487" s="14"/>
      <c r="C487" s="15"/>
      <c r="E487" s="16"/>
      <c r="F487" s="16"/>
    </row>
    <row r="488" ht="14.25" customHeight="1" spans="2:6">
      <c r="B488" s="14"/>
      <c r="C488" s="15"/>
      <c r="E488" s="16"/>
      <c r="F488" s="16"/>
    </row>
    <row r="489" ht="14.25" customHeight="1" spans="2:6">
      <c r="B489" s="14"/>
      <c r="C489" s="15"/>
      <c r="E489" s="16"/>
      <c r="F489" s="16"/>
    </row>
    <row r="490" ht="14.25" customHeight="1" spans="2:6">
      <c r="B490" s="14"/>
      <c r="C490" s="15"/>
      <c r="E490" s="16"/>
      <c r="F490" s="16"/>
    </row>
    <row r="491" ht="14.25" customHeight="1" spans="2:6">
      <c r="B491" s="14"/>
      <c r="C491" s="15"/>
      <c r="E491" s="16"/>
      <c r="F491" s="16"/>
    </row>
    <row r="492" ht="14.25" customHeight="1" spans="2:6">
      <c r="B492" s="14"/>
      <c r="C492" s="15"/>
      <c r="E492" s="16"/>
      <c r="F492" s="16"/>
    </row>
    <row r="493" ht="14.25" customHeight="1" spans="2:6">
      <c r="B493" s="14"/>
      <c r="C493" s="15"/>
      <c r="E493" s="16"/>
      <c r="F493" s="16"/>
    </row>
    <row r="494" ht="14.25" customHeight="1" spans="2:6">
      <c r="B494" s="14"/>
      <c r="C494" s="15"/>
      <c r="E494" s="16"/>
      <c r="F494" s="16"/>
    </row>
    <row r="495" ht="14.25" customHeight="1" spans="2:6">
      <c r="B495" s="14"/>
      <c r="C495" s="15"/>
      <c r="E495" s="16"/>
      <c r="F495" s="16"/>
    </row>
    <row r="496" ht="14.25" customHeight="1" spans="2:6">
      <c r="B496" s="14"/>
      <c r="C496" s="15"/>
      <c r="E496" s="16"/>
      <c r="F496" s="16"/>
    </row>
    <row r="497" ht="14.25" customHeight="1" spans="2:6">
      <c r="B497" s="14"/>
      <c r="C497" s="15"/>
      <c r="E497" s="16"/>
      <c r="F497" s="16"/>
    </row>
    <row r="498" ht="14.25" customHeight="1" spans="2:6">
      <c r="B498" s="14"/>
      <c r="C498" s="15"/>
      <c r="E498" s="16"/>
      <c r="F498" s="16"/>
    </row>
    <row r="499" ht="14.25" customHeight="1" spans="2:6">
      <c r="B499" s="14"/>
      <c r="C499" s="15"/>
      <c r="E499" s="16"/>
      <c r="F499" s="16"/>
    </row>
    <row r="500" ht="14.25" customHeight="1" spans="2:6">
      <c r="B500" s="14"/>
      <c r="C500" s="15"/>
      <c r="E500" s="16"/>
      <c r="F500" s="16"/>
    </row>
    <row r="501" ht="14.25" customHeight="1" spans="2:6">
      <c r="B501" s="14"/>
      <c r="C501" s="15"/>
      <c r="E501" s="16"/>
      <c r="F501" s="16"/>
    </row>
    <row r="502" ht="14.25" customHeight="1" spans="2:6">
      <c r="B502" s="14"/>
      <c r="C502" s="15"/>
      <c r="E502" s="16"/>
      <c r="F502" s="16"/>
    </row>
    <row r="503" ht="14.25" customHeight="1" spans="2:6">
      <c r="B503" s="14"/>
      <c r="C503" s="15"/>
      <c r="E503" s="16"/>
      <c r="F503" s="16"/>
    </row>
    <row r="504" ht="14.25" customHeight="1" spans="2:6">
      <c r="B504" s="14"/>
      <c r="C504" s="15"/>
      <c r="E504" s="16"/>
      <c r="F504" s="16"/>
    </row>
    <row r="505" ht="14.25" customHeight="1" spans="2:6">
      <c r="B505" s="14"/>
      <c r="C505" s="15"/>
      <c r="E505" s="16"/>
      <c r="F505" s="16"/>
    </row>
    <row r="506" ht="14.25" customHeight="1" spans="2:6">
      <c r="B506" s="14"/>
      <c r="C506" s="15"/>
      <c r="E506" s="16"/>
      <c r="F506" s="16"/>
    </row>
    <row r="507" ht="14.25" customHeight="1" spans="2:6">
      <c r="B507" s="14"/>
      <c r="C507" s="15"/>
      <c r="E507" s="16"/>
      <c r="F507" s="16"/>
    </row>
    <row r="508" ht="14.25" customHeight="1" spans="2:6">
      <c r="B508" s="14"/>
      <c r="C508" s="15"/>
      <c r="E508" s="16"/>
      <c r="F508" s="16"/>
    </row>
    <row r="509" ht="14.25" customHeight="1" spans="2:6">
      <c r="B509" s="14"/>
      <c r="C509" s="15"/>
      <c r="E509" s="16"/>
      <c r="F509" s="16"/>
    </row>
    <row r="510" ht="14.25" customHeight="1" spans="2:6">
      <c r="B510" s="14"/>
      <c r="C510" s="15"/>
      <c r="E510" s="16"/>
      <c r="F510" s="16"/>
    </row>
    <row r="511" ht="14.25" customHeight="1" spans="2:6">
      <c r="B511" s="14"/>
      <c r="C511" s="15"/>
      <c r="E511" s="16"/>
      <c r="F511" s="16"/>
    </row>
    <row r="512" ht="14.25" customHeight="1" spans="2:6">
      <c r="B512" s="14"/>
      <c r="C512" s="15"/>
      <c r="E512" s="16"/>
      <c r="F512" s="16"/>
    </row>
    <row r="513" ht="14.25" customHeight="1" spans="2:6">
      <c r="B513" s="14"/>
      <c r="C513" s="15"/>
      <c r="E513" s="16"/>
      <c r="F513" s="16"/>
    </row>
    <row r="514" ht="14.25" customHeight="1" spans="2:6">
      <c r="B514" s="14"/>
      <c r="C514" s="15"/>
      <c r="E514" s="16"/>
      <c r="F514" s="16"/>
    </row>
    <row r="515" ht="14.25" customHeight="1" spans="2:6">
      <c r="B515" s="14"/>
      <c r="C515" s="15"/>
      <c r="E515" s="16"/>
      <c r="F515" s="16"/>
    </row>
    <row r="516" ht="14.25" customHeight="1" spans="2:6">
      <c r="B516" s="14"/>
      <c r="C516" s="15"/>
      <c r="E516" s="16"/>
      <c r="F516" s="16"/>
    </row>
    <row r="517" ht="14.25" customHeight="1" spans="2:6">
      <c r="B517" s="14"/>
      <c r="C517" s="15"/>
      <c r="E517" s="16"/>
      <c r="F517" s="16"/>
    </row>
    <row r="518" ht="14.25" customHeight="1" spans="2:6">
      <c r="B518" s="14"/>
      <c r="C518" s="15"/>
      <c r="E518" s="16"/>
      <c r="F518" s="16"/>
    </row>
    <row r="519" ht="14.25" customHeight="1" spans="2:6">
      <c r="B519" s="14"/>
      <c r="C519" s="15"/>
      <c r="E519" s="16"/>
      <c r="F519" s="16"/>
    </row>
    <row r="520" ht="14.25" customHeight="1" spans="2:6">
      <c r="B520" s="14"/>
      <c r="C520" s="15"/>
      <c r="E520" s="16"/>
      <c r="F520" s="16"/>
    </row>
    <row r="521" ht="14.25" customHeight="1" spans="2:6">
      <c r="B521" s="14"/>
      <c r="C521" s="15"/>
      <c r="E521" s="16"/>
      <c r="F521" s="16"/>
    </row>
    <row r="522" ht="14.25" customHeight="1" spans="2:6">
      <c r="B522" s="14"/>
      <c r="C522" s="15"/>
      <c r="E522" s="16"/>
      <c r="F522" s="16"/>
    </row>
    <row r="523" ht="14.25" customHeight="1" spans="2:6">
      <c r="B523" s="14"/>
      <c r="C523" s="15"/>
      <c r="E523" s="16"/>
      <c r="F523" s="16"/>
    </row>
    <row r="524" ht="14.25" customHeight="1" spans="2:6">
      <c r="B524" s="14"/>
      <c r="C524" s="15"/>
      <c r="E524" s="16"/>
      <c r="F524" s="16"/>
    </row>
    <row r="525" ht="14.25" customHeight="1" spans="2:6">
      <c r="B525" s="14"/>
      <c r="C525" s="15"/>
      <c r="E525" s="16"/>
      <c r="F525" s="16"/>
    </row>
    <row r="526" ht="14.25" customHeight="1" spans="2:6">
      <c r="B526" s="14"/>
      <c r="C526" s="15"/>
      <c r="E526" s="16"/>
      <c r="F526" s="16"/>
    </row>
    <row r="527" ht="14.25" customHeight="1" spans="2:6">
      <c r="B527" s="14"/>
      <c r="C527" s="15"/>
      <c r="E527" s="16"/>
      <c r="F527" s="16"/>
    </row>
    <row r="528" ht="14.25" customHeight="1" spans="2:6">
      <c r="B528" s="14"/>
      <c r="C528" s="15"/>
      <c r="E528" s="16"/>
      <c r="F528" s="16"/>
    </row>
    <row r="529" ht="14.25" customHeight="1" spans="2:6">
      <c r="B529" s="14"/>
      <c r="C529" s="15"/>
      <c r="E529" s="16"/>
      <c r="F529" s="16"/>
    </row>
    <row r="530" ht="14.25" customHeight="1" spans="2:6">
      <c r="B530" s="14"/>
      <c r="C530" s="15"/>
      <c r="E530" s="16"/>
      <c r="F530" s="16"/>
    </row>
    <row r="531" ht="14.25" customHeight="1" spans="2:6">
      <c r="B531" s="14"/>
      <c r="C531" s="15"/>
      <c r="E531" s="16"/>
      <c r="F531" s="16"/>
    </row>
    <row r="532" ht="14.25" customHeight="1" spans="2:6">
      <c r="B532" s="14"/>
      <c r="C532" s="15"/>
      <c r="E532" s="16"/>
      <c r="F532" s="16"/>
    </row>
    <row r="533" ht="14.25" customHeight="1" spans="2:6">
      <c r="B533" s="14"/>
      <c r="C533" s="15"/>
      <c r="E533" s="16"/>
      <c r="F533" s="16"/>
    </row>
    <row r="534" ht="14.25" customHeight="1" spans="2:6">
      <c r="B534" s="14"/>
      <c r="C534" s="15"/>
      <c r="E534" s="16"/>
      <c r="F534" s="16"/>
    </row>
    <row r="535" ht="14.25" customHeight="1" spans="2:6">
      <c r="B535" s="14"/>
      <c r="C535" s="15"/>
      <c r="E535" s="16"/>
      <c r="F535" s="16"/>
    </row>
    <row r="536" ht="14.25" customHeight="1" spans="2:6">
      <c r="B536" s="14"/>
      <c r="C536" s="15"/>
      <c r="E536" s="16"/>
      <c r="F536" s="16"/>
    </row>
    <row r="537" ht="14.25" customHeight="1" spans="2:6">
      <c r="B537" s="14"/>
      <c r="C537" s="15"/>
      <c r="E537" s="16"/>
      <c r="F537" s="16"/>
    </row>
    <row r="538" ht="14.25" customHeight="1" spans="2:6">
      <c r="B538" s="14"/>
      <c r="C538" s="15"/>
      <c r="E538" s="16"/>
      <c r="F538" s="16"/>
    </row>
    <row r="539" ht="14.25" customHeight="1" spans="2:6">
      <c r="B539" s="14"/>
      <c r="C539" s="15"/>
      <c r="E539" s="16"/>
      <c r="F539" s="16"/>
    </row>
    <row r="540" ht="14.25" customHeight="1" spans="2:6">
      <c r="B540" s="14"/>
      <c r="C540" s="15"/>
      <c r="E540" s="16"/>
      <c r="F540" s="16"/>
    </row>
    <row r="541" ht="14.25" customHeight="1" spans="2:6">
      <c r="B541" s="14"/>
      <c r="C541" s="15"/>
      <c r="E541" s="16"/>
      <c r="F541" s="16"/>
    </row>
    <row r="542" ht="14.25" customHeight="1" spans="2:6">
      <c r="B542" s="14"/>
      <c r="C542" s="15"/>
      <c r="E542" s="16"/>
      <c r="F542" s="16"/>
    </row>
    <row r="543" ht="14.25" customHeight="1" spans="2:6">
      <c r="B543" s="14"/>
      <c r="C543" s="15"/>
      <c r="E543" s="16"/>
      <c r="F543" s="16"/>
    </row>
    <row r="544" ht="14.25" customHeight="1" spans="2:6">
      <c r="B544" s="14"/>
      <c r="C544" s="15"/>
      <c r="E544" s="16"/>
      <c r="F544" s="16"/>
    </row>
    <row r="545" ht="14.25" customHeight="1" spans="2:6">
      <c r="B545" s="14"/>
      <c r="C545" s="15"/>
      <c r="E545" s="16"/>
      <c r="F545" s="16"/>
    </row>
    <row r="546" ht="14.25" customHeight="1" spans="2:6">
      <c r="B546" s="14"/>
      <c r="C546" s="15"/>
      <c r="E546" s="16"/>
      <c r="F546" s="16"/>
    </row>
    <row r="547" ht="14.25" customHeight="1" spans="2:6">
      <c r="B547" s="14"/>
      <c r="C547" s="15"/>
      <c r="E547" s="16"/>
      <c r="F547" s="16"/>
    </row>
    <row r="548" ht="14.25" customHeight="1" spans="2:6">
      <c r="B548" s="14"/>
      <c r="C548" s="15"/>
      <c r="E548" s="16"/>
      <c r="F548" s="16"/>
    </row>
    <row r="549" ht="14.25" customHeight="1" spans="2:6">
      <c r="B549" s="14"/>
      <c r="C549" s="15"/>
      <c r="E549" s="16"/>
      <c r="F549" s="16"/>
    </row>
    <row r="550" ht="14.25" customHeight="1" spans="2:6">
      <c r="B550" s="14"/>
      <c r="C550" s="15"/>
      <c r="E550" s="16"/>
      <c r="F550" s="16"/>
    </row>
    <row r="551" ht="14.25" customHeight="1" spans="2:6">
      <c r="B551" s="14"/>
      <c r="C551" s="15"/>
      <c r="E551" s="16"/>
      <c r="F551" s="16"/>
    </row>
    <row r="552" ht="14.25" customHeight="1" spans="2:6">
      <c r="B552" s="14"/>
      <c r="C552" s="15"/>
      <c r="E552" s="16"/>
      <c r="F552" s="16"/>
    </row>
    <row r="553" ht="14.25" customHeight="1" spans="2:6">
      <c r="B553" s="14"/>
      <c r="C553" s="15"/>
      <c r="E553" s="16"/>
      <c r="F553" s="16"/>
    </row>
    <row r="554" ht="14.25" customHeight="1" spans="2:6">
      <c r="B554" s="14"/>
      <c r="C554" s="15"/>
      <c r="E554" s="16"/>
      <c r="F554" s="16"/>
    </row>
    <row r="555" ht="14.25" customHeight="1" spans="2:6">
      <c r="B555" s="14"/>
      <c r="C555" s="15"/>
      <c r="E555" s="16"/>
      <c r="F555" s="16"/>
    </row>
    <row r="556" ht="14.25" customHeight="1" spans="2:6">
      <c r="B556" s="14"/>
      <c r="C556" s="15"/>
      <c r="E556" s="16"/>
      <c r="F556" s="16"/>
    </row>
    <row r="557" ht="14.25" customHeight="1" spans="2:6">
      <c r="B557" s="14"/>
      <c r="C557" s="15"/>
      <c r="E557" s="16"/>
      <c r="F557" s="16"/>
    </row>
    <row r="558" ht="14.25" customHeight="1" spans="2:6">
      <c r="B558" s="14"/>
      <c r="C558" s="15"/>
      <c r="E558" s="16"/>
      <c r="F558" s="16"/>
    </row>
    <row r="559" ht="14.25" customHeight="1" spans="2:6">
      <c r="B559" s="14"/>
      <c r="C559" s="15"/>
      <c r="E559" s="16"/>
      <c r="F559" s="16"/>
    </row>
    <row r="560" ht="14.25" customHeight="1" spans="2:6">
      <c r="B560" s="14"/>
      <c r="C560" s="15"/>
      <c r="E560" s="16"/>
      <c r="F560" s="16"/>
    </row>
    <row r="561" ht="14.25" customHeight="1" spans="2:6">
      <c r="B561" s="14"/>
      <c r="C561" s="15"/>
      <c r="E561" s="16"/>
      <c r="F561" s="16"/>
    </row>
    <row r="562" ht="14.25" customHeight="1" spans="2:6">
      <c r="B562" s="14"/>
      <c r="C562" s="15"/>
      <c r="E562" s="16"/>
      <c r="F562" s="16"/>
    </row>
    <row r="563" ht="14.25" customHeight="1" spans="2:6">
      <c r="B563" s="14"/>
      <c r="C563" s="15"/>
      <c r="E563" s="16"/>
      <c r="F563" s="16"/>
    </row>
    <row r="564" ht="14.25" customHeight="1" spans="2:6">
      <c r="B564" s="14"/>
      <c r="C564" s="15"/>
      <c r="E564" s="16"/>
      <c r="F564" s="16"/>
    </row>
    <row r="565" ht="14.25" customHeight="1" spans="2:6">
      <c r="B565" s="14"/>
      <c r="C565" s="15"/>
      <c r="E565" s="16"/>
      <c r="F565" s="16"/>
    </row>
    <row r="566" ht="14.25" customHeight="1" spans="2:6">
      <c r="B566" s="14"/>
      <c r="C566" s="15"/>
      <c r="E566" s="16"/>
      <c r="F566" s="16"/>
    </row>
    <row r="567" ht="14.25" customHeight="1" spans="2:6">
      <c r="B567" s="14"/>
      <c r="C567" s="15"/>
      <c r="E567" s="16"/>
      <c r="F567" s="16"/>
    </row>
    <row r="568" ht="14.25" customHeight="1" spans="2:6">
      <c r="B568" s="14"/>
      <c r="C568" s="15"/>
      <c r="E568" s="16"/>
      <c r="F568" s="16"/>
    </row>
    <row r="569" ht="14.25" customHeight="1" spans="2:6">
      <c r="B569" s="14"/>
      <c r="C569" s="15"/>
      <c r="E569" s="16"/>
      <c r="F569" s="16"/>
    </row>
    <row r="570" ht="14.25" customHeight="1" spans="2:6">
      <c r="B570" s="14"/>
      <c r="C570" s="15"/>
      <c r="E570" s="16"/>
      <c r="F570" s="16"/>
    </row>
    <row r="571" ht="14.25" customHeight="1" spans="2:6">
      <c r="B571" s="14"/>
      <c r="C571" s="15"/>
      <c r="E571" s="16"/>
      <c r="F571" s="16"/>
    </row>
    <row r="572" ht="14.25" customHeight="1" spans="2:6">
      <c r="B572" s="14"/>
      <c r="C572" s="15"/>
      <c r="E572" s="16"/>
      <c r="F572" s="16"/>
    </row>
    <row r="573" ht="14.25" customHeight="1" spans="2:6">
      <c r="B573" s="14"/>
      <c r="C573" s="15"/>
      <c r="E573" s="16"/>
      <c r="F573" s="16"/>
    </row>
    <row r="574" ht="14.25" customHeight="1" spans="2:6">
      <c r="B574" s="14"/>
      <c r="C574" s="15"/>
      <c r="E574" s="16"/>
      <c r="F574" s="16"/>
    </row>
    <row r="575" ht="14.25" customHeight="1" spans="2:6">
      <c r="B575" s="14"/>
      <c r="C575" s="15"/>
      <c r="E575" s="16"/>
      <c r="F575" s="16"/>
    </row>
    <row r="576" ht="14.25" customHeight="1" spans="2:6">
      <c r="B576" s="14"/>
      <c r="C576" s="15"/>
      <c r="E576" s="16"/>
      <c r="F576" s="16"/>
    </row>
    <row r="577" ht="14.25" customHeight="1" spans="2:6">
      <c r="B577" s="14"/>
      <c r="C577" s="15"/>
      <c r="E577" s="16"/>
      <c r="F577" s="16"/>
    </row>
    <row r="578" ht="14.25" customHeight="1" spans="2:6">
      <c r="B578" s="14"/>
      <c r="C578" s="15"/>
      <c r="E578" s="16"/>
      <c r="F578" s="16"/>
    </row>
    <row r="579" ht="14.25" customHeight="1" spans="2:6">
      <c r="B579" s="14"/>
      <c r="C579" s="15"/>
      <c r="E579" s="16"/>
      <c r="F579" s="16"/>
    </row>
    <row r="580" ht="14.25" customHeight="1" spans="2:6">
      <c r="B580" s="14"/>
      <c r="C580" s="15"/>
      <c r="E580" s="16"/>
      <c r="F580" s="16"/>
    </row>
    <row r="581" ht="14.25" customHeight="1" spans="2:6">
      <c r="B581" s="14"/>
      <c r="C581" s="15"/>
      <c r="E581" s="16"/>
      <c r="F581" s="16"/>
    </row>
    <row r="582" ht="14.25" customHeight="1" spans="2:6">
      <c r="B582" s="14"/>
      <c r="C582" s="15"/>
      <c r="E582" s="16"/>
      <c r="F582" s="16"/>
    </row>
    <row r="583" ht="14.25" customHeight="1" spans="2:6">
      <c r="B583" s="14"/>
      <c r="C583" s="15"/>
      <c r="E583" s="16"/>
      <c r="F583" s="16"/>
    </row>
    <row r="584" ht="14.25" customHeight="1" spans="2:6">
      <c r="B584" s="14"/>
      <c r="C584" s="15"/>
      <c r="E584" s="16"/>
      <c r="F584" s="16"/>
    </row>
    <row r="585" ht="14.25" customHeight="1" spans="2:6">
      <c r="B585" s="14"/>
      <c r="C585" s="15"/>
      <c r="E585" s="16"/>
      <c r="F585" s="16"/>
    </row>
    <row r="586" ht="14.25" customHeight="1" spans="2:6">
      <c r="B586" s="14"/>
      <c r="C586" s="15"/>
      <c r="E586" s="16"/>
      <c r="F586" s="16"/>
    </row>
    <row r="587" ht="14.25" customHeight="1" spans="2:6">
      <c r="B587" s="14"/>
      <c r="C587" s="15"/>
      <c r="E587" s="16"/>
      <c r="F587" s="16"/>
    </row>
    <row r="588" ht="14.25" customHeight="1" spans="2:6">
      <c r="B588" s="14"/>
      <c r="C588" s="15"/>
      <c r="E588" s="16"/>
      <c r="F588" s="16"/>
    </row>
    <row r="589" ht="14.25" customHeight="1" spans="2:6">
      <c r="B589" s="14"/>
      <c r="C589" s="15"/>
      <c r="E589" s="16"/>
      <c r="F589" s="16"/>
    </row>
    <row r="590" ht="14.25" customHeight="1" spans="2:6">
      <c r="B590" s="14"/>
      <c r="C590" s="15"/>
      <c r="E590" s="16"/>
      <c r="F590" s="16"/>
    </row>
    <row r="591" ht="14.25" customHeight="1" spans="2:6">
      <c r="B591" s="14"/>
      <c r="C591" s="15"/>
      <c r="E591" s="16"/>
      <c r="F591" s="16"/>
    </row>
    <row r="592" ht="14.25" customHeight="1" spans="2:6">
      <c r="B592" s="14"/>
      <c r="C592" s="15"/>
      <c r="E592" s="16"/>
      <c r="F592" s="16"/>
    </row>
    <row r="593" ht="14.25" customHeight="1" spans="2:6">
      <c r="B593" s="14"/>
      <c r="C593" s="15"/>
      <c r="E593" s="16"/>
      <c r="F593" s="16"/>
    </row>
    <row r="594" ht="14.25" customHeight="1" spans="2:6">
      <c r="B594" s="14"/>
      <c r="C594" s="15"/>
      <c r="E594" s="16"/>
      <c r="F594" s="16"/>
    </row>
    <row r="595" ht="14.25" customHeight="1" spans="2:6">
      <c r="B595" s="14"/>
      <c r="C595" s="15"/>
      <c r="E595" s="16"/>
      <c r="F595" s="16"/>
    </row>
    <row r="596" ht="14.25" customHeight="1" spans="2:6">
      <c r="B596" s="14"/>
      <c r="C596" s="15"/>
      <c r="E596" s="16"/>
      <c r="F596" s="16"/>
    </row>
    <row r="597" ht="14.25" customHeight="1" spans="2:6">
      <c r="B597" s="14"/>
      <c r="C597" s="15"/>
      <c r="E597" s="16"/>
      <c r="F597" s="16"/>
    </row>
    <row r="598" ht="14.25" customHeight="1" spans="2:6">
      <c r="B598" s="14"/>
      <c r="C598" s="15"/>
      <c r="E598" s="16"/>
      <c r="F598" s="16"/>
    </row>
    <row r="599" ht="14.25" customHeight="1" spans="2:6">
      <c r="B599" s="14"/>
      <c r="C599" s="15"/>
      <c r="E599" s="16"/>
      <c r="F599" s="16"/>
    </row>
    <row r="600" ht="14.25" customHeight="1" spans="2:6">
      <c r="B600" s="14"/>
      <c r="C600" s="15"/>
      <c r="E600" s="16"/>
      <c r="F600" s="16"/>
    </row>
    <row r="601" ht="14.25" customHeight="1" spans="2:6">
      <c r="B601" s="14"/>
      <c r="C601" s="15"/>
      <c r="E601" s="16"/>
      <c r="F601" s="16"/>
    </row>
    <row r="602" ht="14.25" customHeight="1" spans="2:6">
      <c r="B602" s="14"/>
      <c r="C602" s="15"/>
      <c r="E602" s="16"/>
      <c r="F602" s="16"/>
    </row>
    <row r="603" ht="14.25" customHeight="1" spans="2:6">
      <c r="B603" s="14"/>
      <c r="C603" s="15"/>
      <c r="E603" s="16"/>
      <c r="F603" s="16"/>
    </row>
    <row r="604" ht="14.25" customHeight="1" spans="2:6">
      <c r="B604" s="14"/>
      <c r="C604" s="15"/>
      <c r="E604" s="16"/>
      <c r="F604" s="16"/>
    </row>
    <row r="605" ht="14.25" customHeight="1" spans="2:6">
      <c r="B605" s="14"/>
      <c r="C605" s="15"/>
      <c r="E605" s="16"/>
      <c r="F605" s="16"/>
    </row>
    <row r="606" ht="14.25" customHeight="1" spans="2:6">
      <c r="B606" s="14"/>
      <c r="C606" s="15"/>
      <c r="E606" s="16"/>
      <c r="F606" s="16"/>
    </row>
    <row r="607" ht="14.25" customHeight="1" spans="2:6">
      <c r="B607" s="14"/>
      <c r="C607" s="15"/>
      <c r="E607" s="16"/>
      <c r="F607" s="16"/>
    </row>
    <row r="608" ht="14.25" customHeight="1" spans="2:6">
      <c r="B608" s="14"/>
      <c r="C608" s="15"/>
      <c r="E608" s="16"/>
      <c r="F608" s="16"/>
    </row>
    <row r="609" ht="14.25" customHeight="1" spans="2:6">
      <c r="B609" s="14"/>
      <c r="C609" s="15"/>
      <c r="E609" s="16"/>
      <c r="F609" s="16"/>
    </row>
    <row r="610" ht="14.25" customHeight="1" spans="2:6">
      <c r="B610" s="14"/>
      <c r="C610" s="15"/>
      <c r="E610" s="16"/>
      <c r="F610" s="16"/>
    </row>
    <row r="611" ht="14.25" customHeight="1" spans="2:6">
      <c r="B611" s="14"/>
      <c r="C611" s="15"/>
      <c r="E611" s="16"/>
      <c r="F611" s="16"/>
    </row>
    <row r="612" ht="14.25" customHeight="1" spans="2:6">
      <c r="B612" s="14"/>
      <c r="C612" s="15"/>
      <c r="E612" s="16"/>
      <c r="F612" s="16"/>
    </row>
    <row r="613" ht="14.25" customHeight="1" spans="2:6">
      <c r="B613" s="14"/>
      <c r="C613" s="15"/>
      <c r="E613" s="16"/>
      <c r="F613" s="16"/>
    </row>
    <row r="614" ht="14.25" customHeight="1" spans="2:6">
      <c r="B614" s="14"/>
      <c r="C614" s="15"/>
      <c r="E614" s="16"/>
      <c r="F614" s="16"/>
    </row>
    <row r="615" ht="14.25" customHeight="1" spans="2:6">
      <c r="B615" s="14"/>
      <c r="C615" s="15"/>
      <c r="E615" s="16"/>
      <c r="F615" s="16"/>
    </row>
    <row r="616" ht="14.25" customHeight="1" spans="2:6">
      <c r="B616" s="14"/>
      <c r="C616" s="15"/>
      <c r="E616" s="16"/>
      <c r="F616" s="16"/>
    </row>
    <row r="617" ht="14.25" customHeight="1" spans="2:6">
      <c r="B617" s="14"/>
      <c r="C617" s="15"/>
      <c r="E617" s="16"/>
      <c r="F617" s="16"/>
    </row>
    <row r="618" ht="14.25" customHeight="1" spans="2:6">
      <c r="B618" s="14"/>
      <c r="C618" s="15"/>
      <c r="E618" s="16"/>
      <c r="F618" s="16"/>
    </row>
    <row r="619" ht="14.25" customHeight="1" spans="2:6">
      <c r="B619" s="14"/>
      <c r="C619" s="15"/>
      <c r="E619" s="16"/>
      <c r="F619" s="16"/>
    </row>
    <row r="620" ht="14.25" customHeight="1" spans="2:6">
      <c r="B620" s="14"/>
      <c r="C620" s="15"/>
      <c r="E620" s="16"/>
      <c r="F620" s="16"/>
    </row>
    <row r="621" ht="14.25" customHeight="1" spans="2:6">
      <c r="B621" s="14"/>
      <c r="C621" s="15"/>
      <c r="E621" s="16"/>
      <c r="F621" s="16"/>
    </row>
    <row r="622" ht="14.25" customHeight="1" spans="2:6">
      <c r="B622" s="14"/>
      <c r="C622" s="15"/>
      <c r="E622" s="16"/>
      <c r="F622" s="16"/>
    </row>
    <row r="623" ht="14.25" customHeight="1" spans="2:6">
      <c r="B623" s="14"/>
      <c r="C623" s="15"/>
      <c r="E623" s="16"/>
      <c r="F623" s="16"/>
    </row>
    <row r="624" ht="14.25" customHeight="1" spans="2:6">
      <c r="B624" s="14"/>
      <c r="C624" s="15"/>
      <c r="E624" s="16"/>
      <c r="F624" s="16"/>
    </row>
    <row r="625" ht="14.25" customHeight="1" spans="2:6">
      <c r="B625" s="14"/>
      <c r="C625" s="15"/>
      <c r="E625" s="16"/>
      <c r="F625" s="16"/>
    </row>
    <row r="626" ht="14.25" customHeight="1" spans="2:6">
      <c r="B626" s="14"/>
      <c r="C626" s="15"/>
      <c r="E626" s="16"/>
      <c r="F626" s="16"/>
    </row>
    <row r="627" ht="14.25" customHeight="1" spans="2:6">
      <c r="B627" s="14"/>
      <c r="C627" s="15"/>
      <c r="E627" s="16"/>
      <c r="F627" s="16"/>
    </row>
    <row r="628" ht="14.25" customHeight="1" spans="2:6">
      <c r="B628" s="14"/>
      <c r="C628" s="15"/>
      <c r="E628" s="16"/>
      <c r="F628" s="16"/>
    </row>
    <row r="629" ht="14.25" customHeight="1" spans="2:6">
      <c r="B629" s="14"/>
      <c r="C629" s="15"/>
      <c r="E629" s="16"/>
      <c r="F629" s="16"/>
    </row>
    <row r="630" ht="14.25" customHeight="1" spans="2:6">
      <c r="B630" s="14"/>
      <c r="C630" s="15"/>
      <c r="E630" s="16"/>
      <c r="F630" s="16"/>
    </row>
    <row r="631" ht="14.25" customHeight="1" spans="2:6">
      <c r="B631" s="14"/>
      <c r="C631" s="15"/>
      <c r="E631" s="16"/>
      <c r="F631" s="16"/>
    </row>
    <row r="632" ht="14.25" customHeight="1" spans="2:6">
      <c r="B632" s="14"/>
      <c r="C632" s="15"/>
      <c r="E632" s="16"/>
      <c r="F632" s="16"/>
    </row>
    <row r="633" ht="14.25" customHeight="1" spans="2:6">
      <c r="B633" s="14"/>
      <c r="C633" s="15"/>
      <c r="E633" s="16"/>
      <c r="F633" s="16"/>
    </row>
    <row r="634" ht="14.25" customHeight="1" spans="2:6">
      <c r="B634" s="14"/>
      <c r="C634" s="15"/>
      <c r="E634" s="16"/>
      <c r="F634" s="16"/>
    </row>
    <row r="635" ht="14.25" customHeight="1" spans="2:6">
      <c r="B635" s="14"/>
      <c r="C635" s="15"/>
      <c r="E635" s="16"/>
      <c r="F635" s="16"/>
    </row>
    <row r="636" ht="14.25" customHeight="1" spans="2:6">
      <c r="B636" s="14"/>
      <c r="C636" s="15"/>
      <c r="E636" s="16"/>
      <c r="F636" s="16"/>
    </row>
    <row r="637" ht="14.25" customHeight="1" spans="2:6">
      <c r="B637" s="14"/>
      <c r="C637" s="15"/>
      <c r="E637" s="16"/>
      <c r="F637" s="16"/>
    </row>
    <row r="638" ht="14.25" customHeight="1" spans="2:6">
      <c r="B638" s="14"/>
      <c r="C638" s="15"/>
      <c r="E638" s="16"/>
      <c r="F638" s="16"/>
    </row>
    <row r="639" ht="14.25" customHeight="1" spans="2:6">
      <c r="B639" s="14"/>
      <c r="C639" s="15"/>
      <c r="E639" s="16"/>
      <c r="F639" s="16"/>
    </row>
    <row r="640" ht="14.25" customHeight="1" spans="2:6">
      <c r="B640" s="14"/>
      <c r="C640" s="15"/>
      <c r="E640" s="16"/>
      <c r="F640" s="16"/>
    </row>
    <row r="641" ht="14.25" customHeight="1" spans="2:6">
      <c r="B641" s="14"/>
      <c r="C641" s="15"/>
      <c r="E641" s="16"/>
      <c r="F641" s="16"/>
    </row>
    <row r="642" ht="14.25" customHeight="1" spans="2:6">
      <c r="B642" s="14"/>
      <c r="C642" s="15"/>
      <c r="E642" s="16"/>
      <c r="F642" s="16"/>
    </row>
    <row r="643" ht="14.25" customHeight="1" spans="2:6">
      <c r="B643" s="14"/>
      <c r="C643" s="15"/>
      <c r="E643" s="16"/>
      <c r="F643" s="16"/>
    </row>
    <row r="644" ht="14.25" customHeight="1" spans="2:6">
      <c r="B644" s="14"/>
      <c r="C644" s="15"/>
      <c r="E644" s="16"/>
      <c r="F644" s="16"/>
    </row>
    <row r="645" ht="14.25" customHeight="1" spans="2:6">
      <c r="B645" s="14"/>
      <c r="C645" s="15"/>
      <c r="E645" s="16"/>
      <c r="F645" s="16"/>
    </row>
    <row r="646" ht="14.25" customHeight="1" spans="2:6">
      <c r="B646" s="14"/>
      <c r="C646" s="15"/>
      <c r="E646" s="16"/>
      <c r="F646" s="16"/>
    </row>
    <row r="647" ht="14.25" customHeight="1" spans="2:6">
      <c r="B647" s="14"/>
      <c r="C647" s="15"/>
      <c r="E647" s="16"/>
      <c r="F647" s="16"/>
    </row>
    <row r="648" ht="14.25" customHeight="1" spans="2:6">
      <c r="B648" s="14"/>
      <c r="C648" s="15"/>
      <c r="E648" s="16"/>
      <c r="F648" s="16"/>
    </row>
    <row r="649" ht="14.25" customHeight="1" spans="2:6">
      <c r="B649" s="14"/>
      <c r="C649" s="15"/>
      <c r="E649" s="16"/>
      <c r="F649" s="16"/>
    </row>
    <row r="650" ht="14.25" customHeight="1" spans="2:6">
      <c r="B650" s="14"/>
      <c r="C650" s="15"/>
      <c r="E650" s="16"/>
      <c r="F650" s="16"/>
    </row>
    <row r="651" ht="14.25" customHeight="1" spans="2:6">
      <c r="B651" s="14"/>
      <c r="C651" s="15"/>
      <c r="E651" s="16"/>
      <c r="F651" s="16"/>
    </row>
    <row r="652" ht="14.25" customHeight="1" spans="2:6">
      <c r="B652" s="14"/>
      <c r="C652" s="15"/>
      <c r="E652" s="16"/>
      <c r="F652" s="16"/>
    </row>
    <row r="653" ht="14.25" customHeight="1" spans="2:6">
      <c r="B653" s="14"/>
      <c r="C653" s="15"/>
      <c r="E653" s="16"/>
      <c r="F653" s="16"/>
    </row>
    <row r="654" ht="14.25" customHeight="1" spans="2:6">
      <c r="B654" s="14"/>
      <c r="C654" s="15"/>
      <c r="E654" s="16"/>
      <c r="F654" s="16"/>
    </row>
    <row r="655" ht="14.25" customHeight="1" spans="2:6">
      <c r="B655" s="14"/>
      <c r="C655" s="15"/>
      <c r="E655" s="16"/>
      <c r="F655" s="16"/>
    </row>
    <row r="656" ht="14.25" customHeight="1" spans="2:6">
      <c r="B656" s="14"/>
      <c r="C656" s="15"/>
      <c r="E656" s="16"/>
      <c r="F656" s="16"/>
    </row>
    <row r="657" ht="14.25" customHeight="1" spans="2:6">
      <c r="B657" s="14"/>
      <c r="C657" s="15"/>
      <c r="E657" s="16"/>
      <c r="F657" s="16"/>
    </row>
    <row r="658" ht="14.25" customHeight="1" spans="2:6">
      <c r="B658" s="14"/>
      <c r="C658" s="15"/>
      <c r="E658" s="16"/>
      <c r="F658" s="16"/>
    </row>
    <row r="659" ht="14.25" customHeight="1" spans="2:6">
      <c r="B659" s="14"/>
      <c r="C659" s="15"/>
      <c r="E659" s="16"/>
      <c r="F659" s="16"/>
    </row>
    <row r="660" ht="14.25" customHeight="1" spans="2:6">
      <c r="B660" s="14"/>
      <c r="C660" s="15"/>
      <c r="E660" s="16"/>
      <c r="F660" s="16"/>
    </row>
    <row r="661" ht="14.25" customHeight="1" spans="2:6">
      <c r="B661" s="14"/>
      <c r="C661" s="15"/>
      <c r="E661" s="16"/>
      <c r="F661" s="16"/>
    </row>
    <row r="662" ht="14.25" customHeight="1" spans="2:6">
      <c r="B662" s="14"/>
      <c r="C662" s="15"/>
      <c r="E662" s="16"/>
      <c r="F662" s="16"/>
    </row>
    <row r="663" ht="14.25" customHeight="1" spans="2:6">
      <c r="B663" s="14"/>
      <c r="C663" s="15"/>
      <c r="E663" s="16"/>
      <c r="F663" s="16"/>
    </row>
    <row r="664" ht="14.25" customHeight="1" spans="2:6">
      <c r="B664" s="14"/>
      <c r="C664" s="15"/>
      <c r="E664" s="16"/>
      <c r="F664" s="16"/>
    </row>
    <row r="665" ht="14.25" customHeight="1" spans="2:6">
      <c r="B665" s="14"/>
      <c r="C665" s="15"/>
      <c r="E665" s="16"/>
      <c r="F665" s="16"/>
    </row>
    <row r="666" ht="14.25" customHeight="1" spans="2:6">
      <c r="B666" s="14"/>
      <c r="C666" s="15"/>
      <c r="E666" s="16"/>
      <c r="F666" s="16"/>
    </row>
    <row r="667" ht="14.25" customHeight="1" spans="2:6">
      <c r="B667" s="14"/>
      <c r="C667" s="15"/>
      <c r="E667" s="16"/>
      <c r="F667" s="16"/>
    </row>
    <row r="668" ht="14.25" customHeight="1" spans="2:6">
      <c r="B668" s="14"/>
      <c r="C668" s="15"/>
      <c r="E668" s="16"/>
      <c r="F668" s="16"/>
    </row>
    <row r="669" ht="14.25" customHeight="1" spans="2:6">
      <c r="B669" s="14"/>
      <c r="C669" s="15"/>
      <c r="E669" s="16"/>
      <c r="F669" s="16"/>
    </row>
    <row r="670" ht="14.25" customHeight="1" spans="2:6">
      <c r="B670" s="14"/>
      <c r="C670" s="15"/>
      <c r="E670" s="16"/>
      <c r="F670" s="16"/>
    </row>
    <row r="671" ht="14.25" customHeight="1" spans="2:6">
      <c r="B671" s="14"/>
      <c r="C671" s="15"/>
      <c r="E671" s="16"/>
      <c r="F671" s="16"/>
    </row>
    <row r="672" ht="14.25" customHeight="1" spans="2:6">
      <c r="B672" s="14"/>
      <c r="C672" s="15"/>
      <c r="E672" s="16"/>
      <c r="F672" s="16"/>
    </row>
    <row r="673" ht="14.25" customHeight="1" spans="2:6">
      <c r="B673" s="14"/>
      <c r="C673" s="15"/>
      <c r="E673" s="16"/>
      <c r="F673" s="16"/>
    </row>
    <row r="674" ht="14.25" customHeight="1" spans="2:6">
      <c r="B674" s="14"/>
      <c r="C674" s="15"/>
      <c r="E674" s="16"/>
      <c r="F674" s="16"/>
    </row>
    <row r="675" ht="14.25" customHeight="1" spans="2:6">
      <c r="B675" s="14"/>
      <c r="C675" s="15"/>
      <c r="E675" s="16"/>
      <c r="F675" s="16"/>
    </row>
    <row r="676" ht="14.25" customHeight="1" spans="2:6">
      <c r="B676" s="14"/>
      <c r="C676" s="15"/>
      <c r="E676" s="16"/>
      <c r="F676" s="16"/>
    </row>
    <row r="677" ht="14.25" customHeight="1" spans="2:6">
      <c r="B677" s="14"/>
      <c r="C677" s="15"/>
      <c r="E677" s="16"/>
      <c r="F677" s="16"/>
    </row>
    <row r="678" ht="14.25" customHeight="1" spans="2:6">
      <c r="B678" s="14"/>
      <c r="C678" s="15"/>
      <c r="E678" s="16"/>
      <c r="F678" s="16"/>
    </row>
    <row r="679" ht="14.25" customHeight="1" spans="2:6">
      <c r="B679" s="14"/>
      <c r="C679" s="15"/>
      <c r="E679" s="16"/>
      <c r="F679" s="16"/>
    </row>
    <row r="680" ht="14.25" customHeight="1" spans="2:6">
      <c r="B680" s="14"/>
      <c r="C680" s="15"/>
      <c r="E680" s="16"/>
      <c r="F680" s="16"/>
    </row>
    <row r="681" ht="14.25" customHeight="1" spans="2:6">
      <c r="B681" s="14"/>
      <c r="C681" s="15"/>
      <c r="E681" s="16"/>
      <c r="F681" s="16"/>
    </row>
    <row r="682" ht="14.25" customHeight="1" spans="2:6">
      <c r="B682" s="14"/>
      <c r="C682" s="15"/>
      <c r="E682" s="16"/>
      <c r="F682" s="16"/>
    </row>
    <row r="683" ht="14.25" customHeight="1" spans="2:6">
      <c r="B683" s="14"/>
      <c r="C683" s="15"/>
      <c r="E683" s="16"/>
      <c r="F683" s="16"/>
    </row>
    <row r="684" ht="14.25" customHeight="1" spans="2:6">
      <c r="B684" s="14"/>
      <c r="C684" s="15"/>
      <c r="E684" s="16"/>
      <c r="F684" s="16"/>
    </row>
    <row r="685" ht="14.25" customHeight="1" spans="2:6">
      <c r="B685" s="14"/>
      <c r="C685" s="15"/>
      <c r="E685" s="16"/>
      <c r="F685" s="16"/>
    </row>
    <row r="686" ht="14.25" customHeight="1" spans="2:6">
      <c r="B686" s="14"/>
      <c r="C686" s="15"/>
      <c r="E686" s="16"/>
      <c r="F686" s="16"/>
    </row>
    <row r="687" ht="14.25" customHeight="1" spans="2:6">
      <c r="B687" s="14"/>
      <c r="C687" s="15"/>
      <c r="E687" s="16"/>
      <c r="F687" s="16"/>
    </row>
    <row r="688" ht="14.25" customHeight="1" spans="2:6">
      <c r="B688" s="14"/>
      <c r="C688" s="15"/>
      <c r="E688" s="16"/>
      <c r="F688" s="16"/>
    </row>
    <row r="689" ht="14.25" customHeight="1" spans="2:6">
      <c r="B689" s="14"/>
      <c r="C689" s="15"/>
      <c r="E689" s="16"/>
      <c r="F689" s="16"/>
    </row>
    <row r="690" ht="14.25" customHeight="1" spans="2:6">
      <c r="B690" s="14"/>
      <c r="C690" s="15"/>
      <c r="E690" s="16"/>
      <c r="F690" s="16"/>
    </row>
    <row r="691" ht="14.25" customHeight="1" spans="2:6">
      <c r="B691" s="14"/>
      <c r="C691" s="15"/>
      <c r="E691" s="16"/>
      <c r="F691" s="16"/>
    </row>
    <row r="692" ht="14.25" customHeight="1" spans="2:6">
      <c r="B692" s="14"/>
      <c r="C692" s="15"/>
      <c r="E692" s="16"/>
      <c r="F692" s="16"/>
    </row>
    <row r="693" ht="14.25" customHeight="1" spans="2:6">
      <c r="B693" s="14"/>
      <c r="C693" s="15"/>
      <c r="E693" s="16"/>
      <c r="F693" s="16"/>
    </row>
    <row r="694" ht="14.25" customHeight="1" spans="2:6">
      <c r="B694" s="14"/>
      <c r="C694" s="15"/>
      <c r="E694" s="16"/>
      <c r="F694" s="16"/>
    </row>
    <row r="695" ht="14.25" customHeight="1" spans="2:6">
      <c r="B695" s="14"/>
      <c r="C695" s="15"/>
      <c r="E695" s="16"/>
      <c r="F695" s="16"/>
    </row>
    <row r="696" ht="14.25" customHeight="1" spans="2:6">
      <c r="B696" s="14"/>
      <c r="C696" s="15"/>
      <c r="E696" s="16"/>
      <c r="F696" s="16"/>
    </row>
    <row r="697" ht="14.25" customHeight="1" spans="2:6">
      <c r="B697" s="14"/>
      <c r="C697" s="15"/>
      <c r="E697" s="16"/>
      <c r="F697" s="16"/>
    </row>
    <row r="698" ht="14.25" customHeight="1" spans="2:6">
      <c r="B698" s="14"/>
      <c r="C698" s="15"/>
      <c r="E698" s="16"/>
      <c r="F698" s="16"/>
    </row>
    <row r="699" ht="14.25" customHeight="1" spans="2:6">
      <c r="B699" s="14"/>
      <c r="C699" s="15"/>
      <c r="E699" s="16"/>
      <c r="F699" s="16"/>
    </row>
    <row r="700" ht="14.25" customHeight="1" spans="2:6">
      <c r="B700" s="14"/>
      <c r="C700" s="15"/>
      <c r="E700" s="16"/>
      <c r="F700" s="16"/>
    </row>
    <row r="701" ht="14.25" customHeight="1" spans="2:6">
      <c r="B701" s="14"/>
      <c r="C701" s="15"/>
      <c r="E701" s="16"/>
      <c r="F701" s="16"/>
    </row>
    <row r="702" ht="14.25" customHeight="1" spans="2:6">
      <c r="B702" s="14"/>
      <c r="C702" s="15"/>
      <c r="E702" s="16"/>
      <c r="F702" s="16"/>
    </row>
    <row r="703" ht="14.25" customHeight="1" spans="2:6">
      <c r="B703" s="14"/>
      <c r="C703" s="15"/>
      <c r="E703" s="16"/>
      <c r="F703" s="16"/>
    </row>
    <row r="704" ht="14.25" customHeight="1" spans="2:6">
      <c r="B704" s="14"/>
      <c r="C704" s="15"/>
      <c r="E704" s="16"/>
      <c r="F704" s="16"/>
    </row>
    <row r="705" ht="14.25" customHeight="1" spans="2:6">
      <c r="B705" s="14"/>
      <c r="C705" s="15"/>
      <c r="E705" s="16"/>
      <c r="F705" s="16"/>
    </row>
    <row r="706" ht="14.25" customHeight="1" spans="2:6">
      <c r="B706" s="14"/>
      <c r="C706" s="15"/>
      <c r="E706" s="16"/>
      <c r="F706" s="16"/>
    </row>
    <row r="707" ht="14.25" customHeight="1" spans="2:6">
      <c r="B707" s="14"/>
      <c r="C707" s="15"/>
      <c r="E707" s="16"/>
      <c r="F707" s="16"/>
    </row>
    <row r="708" ht="14.25" customHeight="1" spans="2:6">
      <c r="B708" s="14"/>
      <c r="C708" s="15"/>
      <c r="E708" s="16"/>
      <c r="F708" s="16"/>
    </row>
    <row r="709" ht="14.25" customHeight="1" spans="2:6">
      <c r="B709" s="14"/>
      <c r="C709" s="15"/>
      <c r="E709" s="16"/>
      <c r="F709" s="16"/>
    </row>
    <row r="710" ht="14.25" customHeight="1" spans="2:6">
      <c r="B710" s="14"/>
      <c r="C710" s="15"/>
      <c r="E710" s="16"/>
      <c r="F710" s="16"/>
    </row>
    <row r="711" ht="14.25" customHeight="1" spans="2:6">
      <c r="B711" s="14"/>
      <c r="C711" s="15"/>
      <c r="E711" s="16"/>
      <c r="F711" s="16"/>
    </row>
    <row r="712" ht="14.25" customHeight="1" spans="2:6">
      <c r="B712" s="14"/>
      <c r="C712" s="15"/>
      <c r="E712" s="16"/>
      <c r="F712" s="16"/>
    </row>
    <row r="713" ht="14.25" customHeight="1" spans="2:6">
      <c r="B713" s="14"/>
      <c r="C713" s="15"/>
      <c r="E713" s="16"/>
      <c r="F713" s="16"/>
    </row>
    <row r="714" ht="14.25" customHeight="1" spans="2:6">
      <c r="B714" s="14"/>
      <c r="C714" s="15"/>
      <c r="E714" s="16"/>
      <c r="F714" s="16"/>
    </row>
    <row r="715" ht="14.25" customHeight="1" spans="2:6">
      <c r="B715" s="14"/>
      <c r="C715" s="15"/>
      <c r="E715" s="16"/>
      <c r="F715" s="16"/>
    </row>
    <row r="716" ht="14.25" customHeight="1" spans="2:6">
      <c r="B716" s="14"/>
      <c r="C716" s="15"/>
      <c r="E716" s="16"/>
      <c r="F716" s="16"/>
    </row>
    <row r="717" ht="14.25" customHeight="1" spans="2:6">
      <c r="B717" s="14"/>
      <c r="C717" s="15"/>
      <c r="E717" s="16"/>
      <c r="F717" s="16"/>
    </row>
    <row r="718" ht="14.25" customHeight="1" spans="2:6">
      <c r="B718" s="14"/>
      <c r="C718" s="15"/>
      <c r="E718" s="16"/>
      <c r="F718" s="16"/>
    </row>
    <row r="719" ht="14.25" customHeight="1" spans="2:6">
      <c r="B719" s="14"/>
      <c r="C719" s="15"/>
      <c r="E719" s="16"/>
      <c r="F719" s="16"/>
    </row>
    <row r="720" ht="14.25" customHeight="1" spans="2:6">
      <c r="B720" s="14"/>
      <c r="C720" s="15"/>
      <c r="E720" s="16"/>
      <c r="F720" s="16"/>
    </row>
    <row r="721" ht="14.25" customHeight="1" spans="2:6">
      <c r="B721" s="14"/>
      <c r="C721" s="15"/>
      <c r="E721" s="16"/>
      <c r="F721" s="16"/>
    </row>
    <row r="722" ht="14.25" customHeight="1" spans="2:6">
      <c r="B722" s="14"/>
      <c r="C722" s="15"/>
      <c r="E722" s="16"/>
      <c r="F722" s="16"/>
    </row>
    <row r="723" ht="14.25" customHeight="1" spans="2:6">
      <c r="B723" s="14"/>
      <c r="C723" s="15"/>
      <c r="E723" s="16"/>
      <c r="F723" s="16"/>
    </row>
    <row r="724" ht="14.25" customHeight="1" spans="2:6">
      <c r="B724" s="14"/>
      <c r="C724" s="15"/>
      <c r="E724" s="16"/>
      <c r="F724" s="16"/>
    </row>
    <row r="725" ht="14.25" customHeight="1" spans="2:6">
      <c r="B725" s="14"/>
      <c r="C725" s="15"/>
      <c r="E725" s="16"/>
      <c r="F725" s="16"/>
    </row>
    <row r="726" ht="14.25" customHeight="1" spans="2:6">
      <c r="B726" s="14"/>
      <c r="C726" s="15"/>
      <c r="E726" s="16"/>
      <c r="F726" s="16"/>
    </row>
    <row r="727" ht="14.25" customHeight="1" spans="2:6">
      <c r="B727" s="14"/>
      <c r="C727" s="15"/>
      <c r="E727" s="16"/>
      <c r="F727" s="16"/>
    </row>
    <row r="728" ht="14.25" customHeight="1" spans="2:6">
      <c r="B728" s="14"/>
      <c r="C728" s="15"/>
      <c r="E728" s="16"/>
      <c r="F728" s="16"/>
    </row>
    <row r="729" ht="14.25" customHeight="1" spans="2:6">
      <c r="B729" s="14"/>
      <c r="C729" s="15"/>
      <c r="E729" s="16"/>
      <c r="F729" s="16"/>
    </row>
    <row r="730" ht="14.25" customHeight="1" spans="2:6">
      <c r="B730" s="14"/>
      <c r="C730" s="15"/>
      <c r="E730" s="16"/>
      <c r="F730" s="16"/>
    </row>
    <row r="731" ht="14.25" customHeight="1" spans="2:6">
      <c r="B731" s="14"/>
      <c r="C731" s="15"/>
      <c r="E731" s="16"/>
      <c r="F731" s="16"/>
    </row>
    <row r="732" ht="14.25" customHeight="1" spans="2:6">
      <c r="B732" s="14"/>
      <c r="C732" s="15"/>
      <c r="E732" s="16"/>
      <c r="F732" s="16"/>
    </row>
    <row r="733" ht="14.25" customHeight="1" spans="2:6">
      <c r="B733" s="14"/>
      <c r="C733" s="15"/>
      <c r="E733" s="16"/>
      <c r="F733" s="16"/>
    </row>
    <row r="734" ht="14.25" customHeight="1" spans="2:6">
      <c r="B734" s="14"/>
      <c r="C734" s="15"/>
      <c r="E734" s="16"/>
      <c r="F734" s="16"/>
    </row>
    <row r="735" ht="14.25" customHeight="1" spans="2:6">
      <c r="B735" s="14"/>
      <c r="C735" s="15"/>
      <c r="E735" s="16"/>
      <c r="F735" s="16"/>
    </row>
    <row r="736" ht="14.25" customHeight="1" spans="2:6">
      <c r="B736" s="14"/>
      <c r="C736" s="15"/>
      <c r="E736" s="16"/>
      <c r="F736" s="16"/>
    </row>
    <row r="737" ht="14.25" customHeight="1" spans="2:6">
      <c r="B737" s="14"/>
      <c r="C737" s="15"/>
      <c r="E737" s="16"/>
      <c r="F737" s="16"/>
    </row>
    <row r="738" ht="14.25" customHeight="1" spans="2:6">
      <c r="B738" s="14"/>
      <c r="C738" s="15"/>
      <c r="E738" s="16"/>
      <c r="F738" s="16"/>
    </row>
    <row r="739" ht="14.25" customHeight="1" spans="2:6">
      <c r="B739" s="14"/>
      <c r="C739" s="15"/>
      <c r="E739" s="16"/>
      <c r="F739" s="16"/>
    </row>
    <row r="740" ht="14.25" customHeight="1" spans="2:6">
      <c r="B740" s="14"/>
      <c r="C740" s="15"/>
      <c r="E740" s="16"/>
      <c r="F740" s="16"/>
    </row>
    <row r="741" ht="14.25" customHeight="1" spans="2:6">
      <c r="B741" s="14"/>
      <c r="C741" s="15"/>
      <c r="E741" s="16"/>
      <c r="F741" s="16"/>
    </row>
    <row r="742" ht="14.25" customHeight="1" spans="2:6">
      <c r="B742" s="14"/>
      <c r="C742" s="15"/>
      <c r="E742" s="16"/>
      <c r="F742" s="16"/>
    </row>
    <row r="743" ht="14.25" customHeight="1" spans="2:6">
      <c r="B743" s="14"/>
      <c r="C743" s="15"/>
      <c r="E743" s="16"/>
      <c r="F743" s="16"/>
    </row>
    <row r="744" ht="14.25" customHeight="1" spans="2:6">
      <c r="B744" s="14"/>
      <c r="C744" s="15"/>
      <c r="E744" s="16"/>
      <c r="F744" s="16"/>
    </row>
    <row r="745" ht="14.25" customHeight="1" spans="2:6">
      <c r="B745" s="14"/>
      <c r="C745" s="15"/>
      <c r="E745" s="16"/>
      <c r="F745" s="16"/>
    </row>
    <row r="746" ht="14.25" customHeight="1" spans="2:6">
      <c r="B746" s="14"/>
      <c r="C746" s="15"/>
      <c r="E746" s="16"/>
      <c r="F746" s="16"/>
    </row>
    <row r="747" ht="14.25" customHeight="1" spans="2:6">
      <c r="B747" s="14"/>
      <c r="C747" s="15"/>
      <c r="E747" s="16"/>
      <c r="F747" s="16"/>
    </row>
    <row r="748" ht="14.25" customHeight="1" spans="2:6">
      <c r="B748" s="14"/>
      <c r="C748" s="15"/>
      <c r="E748" s="16"/>
      <c r="F748" s="16"/>
    </row>
    <row r="749" ht="14.25" customHeight="1" spans="2:6">
      <c r="B749" s="14"/>
      <c r="C749" s="15"/>
      <c r="E749" s="16"/>
      <c r="F749" s="16"/>
    </row>
    <row r="750" ht="14.25" customHeight="1" spans="2:6">
      <c r="B750" s="14"/>
      <c r="C750" s="15"/>
      <c r="E750" s="16"/>
      <c r="F750" s="16"/>
    </row>
    <row r="751" ht="14.25" customHeight="1" spans="2:6">
      <c r="B751" s="14"/>
      <c r="C751" s="15"/>
      <c r="E751" s="16"/>
      <c r="F751" s="16"/>
    </row>
    <row r="752" ht="14.25" customHeight="1" spans="2:6">
      <c r="B752" s="14"/>
      <c r="C752" s="15"/>
      <c r="E752" s="16"/>
      <c r="F752" s="16"/>
    </row>
    <row r="753" ht="14.25" customHeight="1" spans="2:6">
      <c r="B753" s="14"/>
      <c r="C753" s="15"/>
      <c r="E753" s="16"/>
      <c r="F753" s="16"/>
    </row>
    <row r="754" ht="14.25" customHeight="1" spans="2:6">
      <c r="B754" s="14"/>
      <c r="C754" s="15"/>
      <c r="E754" s="16"/>
      <c r="F754" s="16"/>
    </row>
    <row r="755" ht="14.25" customHeight="1" spans="2:6">
      <c r="B755" s="14"/>
      <c r="C755" s="15"/>
      <c r="E755" s="16"/>
      <c r="F755" s="16"/>
    </row>
    <row r="756" ht="14.25" customHeight="1" spans="2:6">
      <c r="B756" s="14"/>
      <c r="C756" s="15"/>
      <c r="E756" s="16"/>
      <c r="F756" s="16"/>
    </row>
    <row r="757" ht="14.25" customHeight="1" spans="2:6">
      <c r="B757" s="14"/>
      <c r="C757" s="15"/>
      <c r="E757" s="16"/>
      <c r="F757" s="16"/>
    </row>
    <row r="758" ht="14.25" customHeight="1" spans="2:6">
      <c r="B758" s="14"/>
      <c r="C758" s="15"/>
      <c r="E758" s="16"/>
      <c r="F758" s="16"/>
    </row>
    <row r="759" ht="14.25" customHeight="1" spans="2:6">
      <c r="B759" s="14"/>
      <c r="C759" s="15"/>
      <c r="E759" s="16"/>
      <c r="F759" s="16"/>
    </row>
    <row r="760" ht="14.25" customHeight="1" spans="2:6">
      <c r="B760" s="14"/>
      <c r="C760" s="15"/>
      <c r="E760" s="16"/>
      <c r="F760" s="16"/>
    </row>
    <row r="761" ht="14.25" customHeight="1" spans="2:6">
      <c r="B761" s="14"/>
      <c r="C761" s="15"/>
      <c r="E761" s="16"/>
      <c r="F761" s="16"/>
    </row>
    <row r="762" ht="14.25" customHeight="1" spans="2:6">
      <c r="B762" s="14"/>
      <c r="C762" s="15"/>
      <c r="E762" s="16"/>
      <c r="F762" s="16"/>
    </row>
    <row r="763" ht="14.25" customHeight="1" spans="2:6">
      <c r="B763" s="14"/>
      <c r="C763" s="15"/>
      <c r="E763" s="16"/>
      <c r="F763" s="16"/>
    </row>
    <row r="764" ht="14.25" customHeight="1" spans="2:6">
      <c r="B764" s="14"/>
      <c r="C764" s="15"/>
      <c r="E764" s="16"/>
      <c r="F764" s="16"/>
    </row>
    <row r="765" ht="14.25" customHeight="1" spans="2:6">
      <c r="B765" s="14"/>
      <c r="C765" s="15"/>
      <c r="E765" s="16"/>
      <c r="F765" s="16"/>
    </row>
    <row r="766" ht="14.25" customHeight="1" spans="2:6">
      <c r="B766" s="14"/>
      <c r="C766" s="15"/>
      <c r="E766" s="16"/>
      <c r="F766" s="16"/>
    </row>
    <row r="767" ht="14.25" customHeight="1" spans="2:6">
      <c r="B767" s="14"/>
      <c r="C767" s="15"/>
      <c r="E767" s="16"/>
      <c r="F767" s="16"/>
    </row>
    <row r="768" ht="14.25" customHeight="1" spans="2:6">
      <c r="B768" s="14"/>
      <c r="C768" s="15"/>
      <c r="E768" s="16"/>
      <c r="F768" s="16"/>
    </row>
    <row r="769" ht="14.25" customHeight="1" spans="2:6">
      <c r="B769" s="14"/>
      <c r="C769" s="15"/>
      <c r="E769" s="16"/>
      <c r="F769" s="16"/>
    </row>
    <row r="770" ht="14.25" customHeight="1" spans="2:6">
      <c r="B770" s="14"/>
      <c r="C770" s="15"/>
      <c r="E770" s="16"/>
      <c r="F770" s="16"/>
    </row>
    <row r="771" ht="14.25" customHeight="1" spans="2:6">
      <c r="B771" s="14"/>
      <c r="C771" s="15"/>
      <c r="E771" s="16"/>
      <c r="F771" s="16"/>
    </row>
    <row r="772" ht="14.25" customHeight="1" spans="2:6">
      <c r="B772" s="14"/>
      <c r="C772" s="15"/>
      <c r="E772" s="16"/>
      <c r="F772" s="16"/>
    </row>
    <row r="773" ht="14.25" customHeight="1" spans="2:6">
      <c r="B773" s="14"/>
      <c r="C773" s="15"/>
      <c r="E773" s="16"/>
      <c r="F773" s="16"/>
    </row>
    <row r="774" ht="14.25" customHeight="1" spans="2:6">
      <c r="B774" s="14"/>
      <c r="C774" s="15"/>
      <c r="E774" s="16"/>
      <c r="F774" s="16"/>
    </row>
    <row r="775" ht="14.25" customHeight="1" spans="2:6">
      <c r="B775" s="14"/>
      <c r="C775" s="15"/>
      <c r="E775" s="16"/>
      <c r="F775" s="16"/>
    </row>
    <row r="776" ht="14.25" customHeight="1" spans="2:6">
      <c r="B776" s="14"/>
      <c r="C776" s="15"/>
      <c r="E776" s="16"/>
      <c r="F776" s="16"/>
    </row>
    <row r="777" ht="14.25" customHeight="1" spans="2:6">
      <c r="B777" s="14"/>
      <c r="C777" s="15"/>
      <c r="E777" s="16"/>
      <c r="F777" s="16"/>
    </row>
    <row r="778" ht="14.25" customHeight="1" spans="2:6">
      <c r="B778" s="14"/>
      <c r="C778" s="15"/>
      <c r="E778" s="16"/>
      <c r="F778" s="16"/>
    </row>
    <row r="779" ht="14.25" customHeight="1" spans="2:6">
      <c r="B779" s="14"/>
      <c r="C779" s="15"/>
      <c r="E779" s="16"/>
      <c r="F779" s="16"/>
    </row>
    <row r="780" ht="14.25" customHeight="1" spans="2:6">
      <c r="B780" s="14"/>
      <c r="C780" s="15"/>
      <c r="E780" s="16"/>
      <c r="F780" s="16"/>
    </row>
    <row r="781" ht="14.25" customHeight="1" spans="2:6">
      <c r="B781" s="14"/>
      <c r="C781" s="15"/>
      <c r="E781" s="16"/>
      <c r="F781" s="16"/>
    </row>
    <row r="782" ht="14.25" customHeight="1" spans="2:6">
      <c r="B782" s="14"/>
      <c r="C782" s="15"/>
      <c r="E782" s="16"/>
      <c r="F782" s="16"/>
    </row>
    <row r="783" ht="14.25" customHeight="1" spans="2:6">
      <c r="B783" s="14"/>
      <c r="C783" s="15"/>
      <c r="E783" s="16"/>
      <c r="F783" s="16"/>
    </row>
    <row r="784" ht="14.25" customHeight="1" spans="2:6">
      <c r="B784" s="14"/>
      <c r="C784" s="15"/>
      <c r="E784" s="16"/>
      <c r="F784" s="16"/>
    </row>
    <row r="785" ht="14.25" customHeight="1" spans="2:6">
      <c r="B785" s="14"/>
      <c r="C785" s="15"/>
      <c r="E785" s="16"/>
      <c r="F785" s="16"/>
    </row>
    <row r="786" ht="14.25" customHeight="1" spans="2:6">
      <c r="B786" s="14"/>
      <c r="C786" s="15"/>
      <c r="E786" s="16"/>
      <c r="F786" s="16"/>
    </row>
    <row r="787" ht="14.25" customHeight="1" spans="2:6">
      <c r="B787" s="14"/>
      <c r="C787" s="15"/>
      <c r="E787" s="16"/>
      <c r="F787" s="16"/>
    </row>
    <row r="788" ht="14.25" customHeight="1" spans="2:6">
      <c r="B788" s="14"/>
      <c r="C788" s="15"/>
      <c r="E788" s="16"/>
      <c r="F788" s="16"/>
    </row>
    <row r="789" ht="14.25" customHeight="1" spans="2:6">
      <c r="B789" s="14"/>
      <c r="C789" s="15"/>
      <c r="E789" s="16"/>
      <c r="F789" s="16"/>
    </row>
    <row r="790" ht="14.25" customHeight="1" spans="2:6">
      <c r="B790" s="14"/>
      <c r="C790" s="15"/>
      <c r="E790" s="16"/>
      <c r="F790" s="16"/>
    </row>
    <row r="791" ht="14.25" customHeight="1" spans="2:6">
      <c r="B791" s="14"/>
      <c r="C791" s="15"/>
      <c r="E791" s="16"/>
      <c r="F791" s="16"/>
    </row>
    <row r="792" ht="14.25" customHeight="1" spans="2:6">
      <c r="B792" s="14"/>
      <c r="C792" s="15"/>
      <c r="E792" s="16"/>
      <c r="F792" s="16"/>
    </row>
    <row r="793" ht="14.25" customHeight="1" spans="2:6">
      <c r="B793" s="14"/>
      <c r="C793" s="15"/>
      <c r="E793" s="16"/>
      <c r="F793" s="16"/>
    </row>
    <row r="794" ht="14.25" customHeight="1" spans="2:6">
      <c r="B794" s="14"/>
      <c r="C794" s="15"/>
      <c r="E794" s="16"/>
      <c r="F794" s="16"/>
    </row>
    <row r="795" ht="14.25" customHeight="1" spans="2:6">
      <c r="B795" s="14"/>
      <c r="C795" s="15"/>
      <c r="E795" s="16"/>
      <c r="F795" s="16"/>
    </row>
    <row r="796" ht="14.25" customHeight="1" spans="2:6">
      <c r="B796" s="14"/>
      <c r="C796" s="15"/>
      <c r="E796" s="16"/>
      <c r="F796" s="16"/>
    </row>
    <row r="797" ht="14.25" customHeight="1" spans="2:6">
      <c r="B797" s="14"/>
      <c r="C797" s="15"/>
      <c r="E797" s="16"/>
      <c r="F797" s="16"/>
    </row>
    <row r="798" ht="14.25" customHeight="1" spans="2:6">
      <c r="B798" s="14"/>
      <c r="C798" s="15"/>
      <c r="E798" s="16"/>
      <c r="F798" s="16"/>
    </row>
    <row r="799" ht="14.25" customHeight="1" spans="2:6">
      <c r="B799" s="14"/>
      <c r="C799" s="15"/>
      <c r="E799" s="16"/>
      <c r="F799" s="16"/>
    </row>
    <row r="800" ht="14.25" customHeight="1" spans="2:6">
      <c r="B800" s="14"/>
      <c r="C800" s="15"/>
      <c r="E800" s="16"/>
      <c r="F800" s="16"/>
    </row>
    <row r="801" ht="14.25" customHeight="1" spans="2:6">
      <c r="B801" s="14"/>
      <c r="C801" s="15"/>
      <c r="E801" s="16"/>
      <c r="F801" s="16"/>
    </row>
    <row r="802" ht="14.25" customHeight="1" spans="2:6">
      <c r="B802" s="14"/>
      <c r="C802" s="15"/>
      <c r="E802" s="16"/>
      <c r="F802" s="16"/>
    </row>
    <row r="803" ht="14.25" customHeight="1" spans="2:6">
      <c r="B803" s="14"/>
      <c r="C803" s="15"/>
      <c r="E803" s="16"/>
      <c r="F803" s="16"/>
    </row>
    <row r="804" ht="14.25" customHeight="1" spans="2:6">
      <c r="B804" s="14"/>
      <c r="C804" s="15"/>
      <c r="E804" s="16"/>
      <c r="F804" s="16"/>
    </row>
    <row r="805" ht="14.25" customHeight="1" spans="2:6">
      <c r="B805" s="14"/>
      <c r="C805" s="15"/>
      <c r="E805" s="16"/>
      <c r="F805" s="16"/>
    </row>
    <row r="806" ht="14.25" customHeight="1" spans="2:6">
      <c r="B806" s="14"/>
      <c r="C806" s="15"/>
      <c r="E806" s="16"/>
      <c r="F806" s="16"/>
    </row>
    <row r="807" ht="14.25" customHeight="1" spans="2:6">
      <c r="B807" s="14"/>
      <c r="C807" s="15"/>
      <c r="E807" s="16"/>
      <c r="F807" s="16"/>
    </row>
    <row r="808" ht="14.25" customHeight="1" spans="2:6">
      <c r="B808" s="14"/>
      <c r="C808" s="15"/>
      <c r="E808" s="16"/>
      <c r="F808" s="16"/>
    </row>
    <row r="809" ht="14.25" customHeight="1" spans="2:6">
      <c r="B809" s="14"/>
      <c r="C809" s="15"/>
      <c r="E809" s="16"/>
      <c r="F809" s="16"/>
    </row>
    <row r="810" ht="14.25" customHeight="1" spans="2:6">
      <c r="B810" s="14"/>
      <c r="C810" s="15"/>
      <c r="E810" s="16"/>
      <c r="F810" s="16"/>
    </row>
    <row r="811" ht="14.25" customHeight="1" spans="2:6">
      <c r="B811" s="14"/>
      <c r="C811" s="15"/>
      <c r="E811" s="16"/>
      <c r="F811" s="16"/>
    </row>
    <row r="812" ht="14.25" customHeight="1" spans="2:6">
      <c r="B812" s="14"/>
      <c r="C812" s="15"/>
      <c r="E812" s="16"/>
      <c r="F812" s="16"/>
    </row>
    <row r="813" ht="14.25" customHeight="1" spans="2:6">
      <c r="B813" s="14"/>
      <c r="C813" s="15"/>
      <c r="E813" s="16"/>
      <c r="F813" s="16"/>
    </row>
    <row r="814" ht="14.25" customHeight="1" spans="2:6">
      <c r="B814" s="14"/>
      <c r="C814" s="15"/>
      <c r="E814" s="16"/>
      <c r="F814" s="16"/>
    </row>
    <row r="815" ht="14.25" customHeight="1" spans="2:6">
      <c r="B815" s="14"/>
      <c r="C815" s="15"/>
      <c r="E815" s="16"/>
      <c r="F815" s="16"/>
    </row>
    <row r="816" ht="14.25" customHeight="1" spans="2:6">
      <c r="B816" s="14"/>
      <c r="C816" s="15"/>
      <c r="E816" s="16"/>
      <c r="F816" s="16"/>
    </row>
    <row r="817" ht="14.25" customHeight="1" spans="2:6">
      <c r="B817" s="14"/>
      <c r="C817" s="15"/>
      <c r="E817" s="16"/>
      <c r="F817" s="16"/>
    </row>
    <row r="818" ht="14.25" customHeight="1" spans="2:6">
      <c r="B818" s="14"/>
      <c r="C818" s="15"/>
      <c r="E818" s="16"/>
      <c r="F818" s="16"/>
    </row>
    <row r="819" ht="14.25" customHeight="1" spans="2:6">
      <c r="B819" s="14"/>
      <c r="C819" s="15"/>
      <c r="E819" s="16"/>
      <c r="F819" s="16"/>
    </row>
    <row r="820" ht="14.25" customHeight="1" spans="2:6">
      <c r="B820" s="14"/>
      <c r="C820" s="15"/>
      <c r="E820" s="16"/>
      <c r="F820" s="16"/>
    </row>
    <row r="821" ht="14.25" customHeight="1" spans="2:6">
      <c r="B821" s="14"/>
      <c r="C821" s="15"/>
      <c r="E821" s="16"/>
      <c r="F821" s="16"/>
    </row>
    <row r="822" ht="14.25" customHeight="1" spans="2:6">
      <c r="B822" s="14"/>
      <c r="C822" s="15"/>
      <c r="E822" s="16"/>
      <c r="F822" s="16"/>
    </row>
    <row r="823" ht="14.25" customHeight="1" spans="2:6">
      <c r="B823" s="14"/>
      <c r="C823" s="15"/>
      <c r="E823" s="16"/>
      <c r="F823" s="16"/>
    </row>
    <row r="824" ht="14.25" customHeight="1" spans="2:6">
      <c r="B824" s="14"/>
      <c r="C824" s="15"/>
      <c r="E824" s="16"/>
      <c r="F824" s="16"/>
    </row>
    <row r="825" ht="14.25" customHeight="1" spans="2:6">
      <c r="B825" s="14"/>
      <c r="C825" s="15"/>
      <c r="E825" s="16"/>
      <c r="F825" s="16"/>
    </row>
    <row r="826" ht="14.25" customHeight="1" spans="2:6">
      <c r="B826" s="14"/>
      <c r="C826" s="15"/>
      <c r="E826" s="16"/>
      <c r="F826" s="16"/>
    </row>
    <row r="827" ht="14.25" customHeight="1" spans="2:6">
      <c r="B827" s="14"/>
      <c r="C827" s="15"/>
      <c r="E827" s="16"/>
      <c r="F827" s="16"/>
    </row>
    <row r="828" ht="14.25" customHeight="1" spans="2:6">
      <c r="B828" s="14"/>
      <c r="C828" s="15"/>
      <c r="E828" s="16"/>
      <c r="F828" s="16"/>
    </row>
    <row r="829" ht="14.25" customHeight="1" spans="2:6">
      <c r="B829" s="14"/>
      <c r="C829" s="15"/>
      <c r="E829" s="16"/>
      <c r="F829" s="16"/>
    </row>
    <row r="830" ht="14.25" customHeight="1" spans="2:6">
      <c r="B830" s="14"/>
      <c r="C830" s="15"/>
      <c r="E830" s="16"/>
      <c r="F830" s="16"/>
    </row>
    <row r="831" ht="14.25" customHeight="1" spans="2:6">
      <c r="B831" s="14"/>
      <c r="C831" s="15"/>
      <c r="E831" s="16"/>
      <c r="F831" s="16"/>
    </row>
    <row r="832" ht="14.25" customHeight="1" spans="2:6">
      <c r="B832" s="14"/>
      <c r="C832" s="15"/>
      <c r="E832" s="16"/>
      <c r="F832" s="16"/>
    </row>
    <row r="833" ht="14.25" customHeight="1" spans="2:6">
      <c r="B833" s="14"/>
      <c r="C833" s="15"/>
      <c r="E833" s="16"/>
      <c r="F833" s="16"/>
    </row>
    <row r="834" ht="14.25" customHeight="1" spans="2:6">
      <c r="B834" s="14"/>
      <c r="C834" s="15"/>
      <c r="E834" s="16"/>
      <c r="F834" s="16"/>
    </row>
    <row r="835" ht="14.25" customHeight="1" spans="2:6">
      <c r="B835" s="14"/>
      <c r="C835" s="15"/>
      <c r="E835" s="16"/>
      <c r="F835" s="16"/>
    </row>
    <row r="836" ht="14.25" customHeight="1" spans="2:6">
      <c r="B836" s="14"/>
      <c r="C836" s="15"/>
      <c r="E836" s="16"/>
      <c r="F836" s="16"/>
    </row>
    <row r="837" ht="14.25" customHeight="1" spans="2:6">
      <c r="B837" s="14"/>
      <c r="C837" s="15"/>
      <c r="E837" s="16"/>
      <c r="F837" s="16"/>
    </row>
    <row r="838" ht="14.25" customHeight="1" spans="2:6">
      <c r="B838" s="14"/>
      <c r="C838" s="15"/>
      <c r="E838" s="16"/>
      <c r="F838" s="16"/>
    </row>
    <row r="839" ht="14.25" customHeight="1" spans="2:6">
      <c r="B839" s="14"/>
      <c r="C839" s="15"/>
      <c r="E839" s="16"/>
      <c r="F839" s="16"/>
    </row>
    <row r="840" ht="14.25" customHeight="1" spans="2:6">
      <c r="B840" s="14"/>
      <c r="C840" s="15"/>
      <c r="E840" s="16"/>
      <c r="F840" s="16"/>
    </row>
    <row r="841" ht="14.25" customHeight="1" spans="2:6">
      <c r="B841" s="14"/>
      <c r="C841" s="15"/>
      <c r="E841" s="16"/>
      <c r="F841" s="16"/>
    </row>
    <row r="842" ht="14.25" customHeight="1" spans="2:6">
      <c r="B842" s="14"/>
      <c r="C842" s="15"/>
      <c r="E842" s="16"/>
      <c r="F842" s="16"/>
    </row>
    <row r="843" ht="14.25" customHeight="1" spans="2:6">
      <c r="B843" s="14"/>
      <c r="C843" s="15"/>
      <c r="E843" s="16"/>
      <c r="F843" s="16"/>
    </row>
    <row r="844" ht="14.25" customHeight="1" spans="2:6">
      <c r="B844" s="14"/>
      <c r="C844" s="15"/>
      <c r="E844" s="16"/>
      <c r="F844" s="16"/>
    </row>
    <row r="845" ht="14.25" customHeight="1" spans="2:6">
      <c r="B845" s="14"/>
      <c r="C845" s="15"/>
      <c r="E845" s="16"/>
      <c r="F845" s="16"/>
    </row>
    <row r="846" ht="14.25" customHeight="1" spans="2:6">
      <c r="B846" s="14"/>
      <c r="C846" s="15"/>
      <c r="E846" s="16"/>
      <c r="F846" s="16"/>
    </row>
    <row r="847" ht="14.25" customHeight="1" spans="2:6">
      <c r="B847" s="14"/>
      <c r="C847" s="15"/>
      <c r="E847" s="16"/>
      <c r="F847" s="16"/>
    </row>
    <row r="848" ht="14.25" customHeight="1" spans="2:6">
      <c r="B848" s="14"/>
      <c r="C848" s="15"/>
      <c r="E848" s="16"/>
      <c r="F848" s="16"/>
    </row>
    <row r="849" ht="14.25" customHeight="1" spans="2:6">
      <c r="B849" s="14"/>
      <c r="C849" s="15"/>
      <c r="E849" s="16"/>
      <c r="F849" s="16"/>
    </row>
    <row r="850" ht="14.25" customHeight="1" spans="2:6">
      <c r="B850" s="14"/>
      <c r="C850" s="15"/>
      <c r="E850" s="16"/>
      <c r="F850" s="16"/>
    </row>
    <row r="851" ht="14.25" customHeight="1" spans="2:6">
      <c r="B851" s="14"/>
      <c r="C851" s="15"/>
      <c r="E851" s="16"/>
      <c r="F851" s="16"/>
    </row>
    <row r="852" ht="14.25" customHeight="1" spans="2:6">
      <c r="B852" s="14"/>
      <c r="C852" s="15"/>
      <c r="E852" s="16"/>
      <c r="F852" s="16"/>
    </row>
    <row r="853" ht="14.25" customHeight="1" spans="2:6">
      <c r="B853" s="14"/>
      <c r="C853" s="15"/>
      <c r="E853" s="16"/>
      <c r="F853" s="16"/>
    </row>
    <row r="854" ht="14.25" customHeight="1" spans="2:6">
      <c r="B854" s="14"/>
      <c r="C854" s="15"/>
      <c r="E854" s="16"/>
      <c r="F854" s="16"/>
    </row>
    <row r="855" ht="14.25" customHeight="1" spans="2:6">
      <c r="B855" s="14"/>
      <c r="C855" s="15"/>
      <c r="E855" s="16"/>
      <c r="F855" s="16"/>
    </row>
    <row r="856" ht="14.25" customHeight="1" spans="2:6">
      <c r="B856" s="14"/>
      <c r="C856" s="15"/>
      <c r="E856" s="16"/>
      <c r="F856" s="16"/>
    </row>
    <row r="857" ht="14.25" customHeight="1" spans="2:6">
      <c r="B857" s="14"/>
      <c r="C857" s="15"/>
      <c r="E857" s="16"/>
      <c r="F857" s="16"/>
    </row>
    <row r="858" ht="14.25" customHeight="1" spans="2:6">
      <c r="B858" s="14"/>
      <c r="C858" s="15"/>
      <c r="E858" s="16"/>
      <c r="F858" s="16"/>
    </row>
    <row r="859" ht="14.25" customHeight="1" spans="2:6">
      <c r="B859" s="14"/>
      <c r="C859" s="15"/>
      <c r="E859" s="16"/>
      <c r="F859" s="16"/>
    </row>
    <row r="860" ht="14.25" customHeight="1" spans="2:6">
      <c r="B860" s="14"/>
      <c r="C860" s="15"/>
      <c r="E860" s="16"/>
      <c r="F860" s="16"/>
    </row>
    <row r="861" ht="14.25" customHeight="1" spans="2:6">
      <c r="B861" s="14"/>
      <c r="C861" s="15"/>
      <c r="E861" s="16"/>
      <c r="F861" s="16"/>
    </row>
    <row r="862" ht="14.25" customHeight="1" spans="2:6">
      <c r="B862" s="14"/>
      <c r="C862" s="15"/>
      <c r="E862" s="16"/>
      <c r="F862" s="16"/>
    </row>
    <row r="863" ht="14.25" customHeight="1" spans="2:6">
      <c r="B863" s="14"/>
      <c r="C863" s="15"/>
      <c r="E863" s="16"/>
      <c r="F863" s="16"/>
    </row>
    <row r="864" ht="14.25" customHeight="1" spans="2:6">
      <c r="B864" s="14"/>
      <c r="C864" s="15"/>
      <c r="E864" s="16"/>
      <c r="F864" s="16"/>
    </row>
    <row r="865" ht="14.25" customHeight="1" spans="2:6">
      <c r="B865" s="14"/>
      <c r="C865" s="15"/>
      <c r="E865" s="16"/>
      <c r="F865" s="16"/>
    </row>
    <row r="866" ht="14.25" customHeight="1" spans="2:6">
      <c r="B866" s="14"/>
      <c r="C866" s="15"/>
      <c r="E866" s="16"/>
      <c r="F866" s="16"/>
    </row>
    <row r="867" ht="14.25" customHeight="1" spans="2:6">
      <c r="B867" s="14"/>
      <c r="C867" s="15"/>
      <c r="E867" s="16"/>
      <c r="F867" s="16"/>
    </row>
    <row r="868" ht="14.25" customHeight="1" spans="2:6">
      <c r="B868" s="14"/>
      <c r="C868" s="15"/>
      <c r="E868" s="16"/>
      <c r="F868" s="16"/>
    </row>
    <row r="869" ht="14.25" customHeight="1" spans="2:6">
      <c r="B869" s="14"/>
      <c r="C869" s="15"/>
      <c r="E869" s="16"/>
      <c r="F869" s="16"/>
    </row>
    <row r="870" ht="14.25" customHeight="1" spans="2:6">
      <c r="B870" s="14"/>
      <c r="C870" s="15"/>
      <c r="E870" s="16"/>
      <c r="F870" s="16"/>
    </row>
    <row r="871" ht="14.25" customHeight="1" spans="2:6">
      <c r="B871" s="14"/>
      <c r="C871" s="15"/>
      <c r="E871" s="16"/>
      <c r="F871" s="16"/>
    </row>
    <row r="872" ht="14.25" customHeight="1" spans="2:6">
      <c r="B872" s="14"/>
      <c r="C872" s="15"/>
      <c r="E872" s="16"/>
      <c r="F872" s="16"/>
    </row>
    <row r="873" ht="14.25" customHeight="1" spans="2:6">
      <c r="B873" s="14"/>
      <c r="C873" s="15"/>
      <c r="E873" s="16"/>
      <c r="F873" s="16"/>
    </row>
    <row r="874" ht="14.25" customHeight="1" spans="2:6">
      <c r="B874" s="14"/>
      <c r="C874" s="15"/>
      <c r="E874" s="16"/>
      <c r="F874" s="16"/>
    </row>
    <row r="875" ht="14.25" customHeight="1" spans="2:6">
      <c r="B875" s="14"/>
      <c r="C875" s="15"/>
      <c r="E875" s="16"/>
      <c r="F875" s="16"/>
    </row>
    <row r="876" ht="14.25" customHeight="1" spans="2:6">
      <c r="B876" s="14"/>
      <c r="C876" s="15"/>
      <c r="E876" s="16"/>
      <c r="F876" s="16"/>
    </row>
    <row r="877" ht="14.25" customHeight="1" spans="2:6">
      <c r="B877" s="14"/>
      <c r="C877" s="15"/>
      <c r="E877" s="16"/>
      <c r="F877" s="16"/>
    </row>
    <row r="878" ht="14.25" customHeight="1" spans="2:6">
      <c r="B878" s="14"/>
      <c r="C878" s="15"/>
      <c r="E878" s="16"/>
      <c r="F878" s="16"/>
    </row>
    <row r="879" ht="14.25" customHeight="1" spans="2:6">
      <c r="B879" s="14"/>
      <c r="C879" s="15"/>
      <c r="E879" s="16"/>
      <c r="F879" s="16"/>
    </row>
    <row r="880" ht="14.25" customHeight="1" spans="2:6">
      <c r="B880" s="14"/>
      <c r="C880" s="15"/>
      <c r="E880" s="16"/>
      <c r="F880" s="16"/>
    </row>
    <row r="881" ht="14.25" customHeight="1" spans="2:6">
      <c r="B881" s="14"/>
      <c r="C881" s="15"/>
      <c r="E881" s="16"/>
      <c r="F881" s="16"/>
    </row>
    <row r="882" ht="14.25" customHeight="1" spans="2:6">
      <c r="B882" s="14"/>
      <c r="C882" s="15"/>
      <c r="E882" s="16"/>
      <c r="F882" s="16"/>
    </row>
    <row r="883" ht="14.25" customHeight="1" spans="2:6">
      <c r="B883" s="14"/>
      <c r="C883" s="15"/>
      <c r="E883" s="16"/>
      <c r="F883" s="16"/>
    </row>
    <row r="884" ht="14.25" customHeight="1" spans="2:6">
      <c r="B884" s="14"/>
      <c r="C884" s="15"/>
      <c r="E884" s="16"/>
      <c r="F884" s="16"/>
    </row>
    <row r="885" ht="14.25" customHeight="1" spans="2:6">
      <c r="B885" s="14"/>
      <c r="C885" s="15"/>
      <c r="E885" s="16"/>
      <c r="F885" s="16"/>
    </row>
    <row r="886" ht="14.25" customHeight="1" spans="2:6">
      <c r="B886" s="14"/>
      <c r="C886" s="15"/>
      <c r="E886" s="16"/>
      <c r="F886" s="16"/>
    </row>
    <row r="887" ht="14.25" customHeight="1" spans="2:6">
      <c r="B887" s="14"/>
      <c r="C887" s="15"/>
      <c r="E887" s="16"/>
      <c r="F887" s="16"/>
    </row>
    <row r="888" ht="14.25" customHeight="1" spans="2:6">
      <c r="B888" s="14"/>
      <c r="C888" s="15"/>
      <c r="E888" s="16"/>
      <c r="F888" s="16"/>
    </row>
    <row r="889" ht="14.25" customHeight="1" spans="2:6">
      <c r="B889" s="14"/>
      <c r="C889" s="15"/>
      <c r="E889" s="16"/>
      <c r="F889" s="16"/>
    </row>
    <row r="890" ht="14.25" customHeight="1" spans="2:6">
      <c r="B890" s="14"/>
      <c r="C890" s="15"/>
      <c r="E890" s="16"/>
      <c r="F890" s="16"/>
    </row>
    <row r="891" ht="14.25" customHeight="1" spans="2:6">
      <c r="B891" s="14"/>
      <c r="C891" s="15"/>
      <c r="E891" s="16"/>
      <c r="F891" s="16"/>
    </row>
    <row r="892" ht="14.25" customHeight="1" spans="2:6">
      <c r="B892" s="14"/>
      <c r="C892" s="15"/>
      <c r="E892" s="16"/>
      <c r="F892" s="16"/>
    </row>
    <row r="893" ht="14.25" customHeight="1" spans="2:6">
      <c r="B893" s="14"/>
      <c r="C893" s="15"/>
      <c r="E893" s="16"/>
      <c r="F893" s="16"/>
    </row>
    <row r="894" ht="14.25" customHeight="1" spans="2:6">
      <c r="B894" s="14"/>
      <c r="C894" s="15"/>
      <c r="E894" s="16"/>
      <c r="F894" s="16"/>
    </row>
    <row r="895" ht="14.25" customHeight="1" spans="2:6">
      <c r="B895" s="14"/>
      <c r="C895" s="15"/>
      <c r="E895" s="16"/>
      <c r="F895" s="16"/>
    </row>
    <row r="896" ht="14.25" customHeight="1" spans="2:6">
      <c r="B896" s="14"/>
      <c r="C896" s="15"/>
      <c r="E896" s="16"/>
      <c r="F896" s="16"/>
    </row>
    <row r="897" ht="14.25" customHeight="1" spans="2:6">
      <c r="B897" s="14"/>
      <c r="C897" s="15"/>
      <c r="E897" s="16"/>
      <c r="F897" s="16"/>
    </row>
    <row r="898" ht="14.25" customHeight="1" spans="2:6">
      <c r="B898" s="14"/>
      <c r="C898" s="15"/>
      <c r="E898" s="16"/>
      <c r="F898" s="16"/>
    </row>
    <row r="899" ht="14.25" customHeight="1" spans="2:6">
      <c r="B899" s="14"/>
      <c r="C899" s="15"/>
      <c r="E899" s="16"/>
      <c r="F899" s="16"/>
    </row>
    <row r="900" ht="14.25" customHeight="1" spans="2:6">
      <c r="B900" s="14"/>
      <c r="C900" s="15"/>
      <c r="E900" s="16"/>
      <c r="F900" s="16"/>
    </row>
    <row r="901" ht="14.25" customHeight="1" spans="2:6">
      <c r="B901" s="14"/>
      <c r="C901" s="15"/>
      <c r="E901" s="16"/>
      <c r="F901" s="16"/>
    </row>
    <row r="902" ht="14.25" customHeight="1" spans="2:6">
      <c r="B902" s="14"/>
      <c r="C902" s="15"/>
      <c r="E902" s="16"/>
      <c r="F902" s="16"/>
    </row>
    <row r="903" ht="14.25" customHeight="1" spans="2:6">
      <c r="B903" s="14"/>
      <c r="C903" s="15"/>
      <c r="E903" s="16"/>
      <c r="F903" s="16"/>
    </row>
    <row r="904" ht="14.25" customHeight="1" spans="2:6">
      <c r="B904" s="14"/>
      <c r="C904" s="15"/>
      <c r="E904" s="16"/>
      <c r="F904" s="16"/>
    </row>
    <row r="905" ht="14.25" customHeight="1" spans="2:6">
      <c r="B905" s="14"/>
      <c r="C905" s="15"/>
      <c r="E905" s="16"/>
      <c r="F905" s="16"/>
    </row>
    <row r="906" ht="14.25" customHeight="1" spans="2:6">
      <c r="B906" s="14"/>
      <c r="C906" s="15"/>
      <c r="E906" s="16"/>
      <c r="F906" s="16"/>
    </row>
    <row r="907" ht="14.25" customHeight="1" spans="2:6">
      <c r="B907" s="14"/>
      <c r="C907" s="15"/>
      <c r="E907" s="16"/>
      <c r="F907" s="16"/>
    </row>
    <row r="908" ht="14.25" customHeight="1" spans="2:6">
      <c r="B908" s="14"/>
      <c r="C908" s="15"/>
      <c r="E908" s="16"/>
      <c r="F908" s="16"/>
    </row>
    <row r="909" ht="14.25" customHeight="1" spans="2:6">
      <c r="B909" s="14"/>
      <c r="C909" s="15"/>
      <c r="E909" s="16"/>
      <c r="F909" s="16"/>
    </row>
    <row r="910" ht="14.25" customHeight="1" spans="2:6">
      <c r="B910" s="14"/>
      <c r="C910" s="15"/>
      <c r="E910" s="16"/>
      <c r="F910" s="16"/>
    </row>
    <row r="911" ht="14.25" customHeight="1" spans="2:6">
      <c r="B911" s="14"/>
      <c r="C911" s="15"/>
      <c r="E911" s="16"/>
      <c r="F911" s="16"/>
    </row>
    <row r="912" ht="14.25" customHeight="1" spans="2:6">
      <c r="B912" s="14"/>
      <c r="C912" s="15"/>
      <c r="E912" s="16"/>
      <c r="F912" s="16"/>
    </row>
    <row r="913" ht="14.25" customHeight="1" spans="2:6">
      <c r="B913" s="14"/>
      <c r="C913" s="15"/>
      <c r="E913" s="16"/>
      <c r="F913" s="16"/>
    </row>
    <row r="914" ht="14.25" customHeight="1" spans="2:6">
      <c r="B914" s="14"/>
      <c r="C914" s="15"/>
      <c r="E914" s="16"/>
      <c r="F914" s="16"/>
    </row>
    <row r="915" ht="14.25" customHeight="1" spans="2:6">
      <c r="B915" s="14"/>
      <c r="C915" s="15"/>
      <c r="E915" s="16"/>
      <c r="F915" s="16"/>
    </row>
    <row r="916" ht="14.25" customHeight="1" spans="2:6">
      <c r="B916" s="14"/>
      <c r="C916" s="15"/>
      <c r="E916" s="16"/>
      <c r="F916" s="16"/>
    </row>
    <row r="917" ht="14.25" customHeight="1" spans="2:6">
      <c r="B917" s="14"/>
      <c r="C917" s="15"/>
      <c r="E917" s="16"/>
      <c r="F917" s="16"/>
    </row>
    <row r="918" ht="14.25" customHeight="1" spans="2:6">
      <c r="B918" s="14"/>
      <c r="C918" s="15"/>
      <c r="E918" s="16"/>
      <c r="F918" s="16"/>
    </row>
    <row r="919" ht="14.25" customHeight="1" spans="2:6">
      <c r="B919" s="14"/>
      <c r="C919" s="15"/>
      <c r="E919" s="16"/>
      <c r="F919" s="16"/>
    </row>
    <row r="920" ht="14.25" customHeight="1" spans="2:6">
      <c r="B920" s="14"/>
      <c r="C920" s="15"/>
      <c r="E920" s="16"/>
      <c r="F920" s="16"/>
    </row>
    <row r="921" ht="14.25" customHeight="1" spans="2:6">
      <c r="B921" s="14"/>
      <c r="C921" s="15"/>
      <c r="E921" s="16"/>
      <c r="F921" s="16"/>
    </row>
    <row r="922" ht="14.25" customHeight="1" spans="2:6">
      <c r="B922" s="14"/>
      <c r="C922" s="15"/>
      <c r="E922" s="16"/>
      <c r="F922" s="16"/>
    </row>
    <row r="923" ht="14.25" customHeight="1" spans="2:6">
      <c r="B923" s="14"/>
      <c r="C923" s="15"/>
      <c r="E923" s="16"/>
      <c r="F923" s="16"/>
    </row>
    <row r="924" ht="14.25" customHeight="1" spans="2:6">
      <c r="B924" s="14"/>
      <c r="C924" s="15"/>
      <c r="E924" s="16"/>
      <c r="F924" s="16"/>
    </row>
    <row r="925" ht="14.25" customHeight="1" spans="2:6">
      <c r="B925" s="14"/>
      <c r="C925" s="15"/>
      <c r="E925" s="16"/>
      <c r="F925" s="16"/>
    </row>
    <row r="926" ht="14.25" customHeight="1" spans="2:6">
      <c r="B926" s="14"/>
      <c r="C926" s="15"/>
      <c r="E926" s="16"/>
      <c r="F926" s="16"/>
    </row>
    <row r="927" ht="14.25" customHeight="1" spans="2:6">
      <c r="B927" s="14"/>
      <c r="C927" s="15"/>
      <c r="E927" s="16"/>
      <c r="F927" s="16"/>
    </row>
    <row r="928" ht="14.25" customHeight="1" spans="2:6">
      <c r="B928" s="14"/>
      <c r="C928" s="15"/>
      <c r="E928" s="16"/>
      <c r="F928" s="16"/>
    </row>
    <row r="929" ht="14.25" customHeight="1" spans="2:6">
      <c r="B929" s="14"/>
      <c r="C929" s="15"/>
      <c r="E929" s="16"/>
      <c r="F929" s="16"/>
    </row>
    <row r="930" ht="14.25" customHeight="1" spans="2:6">
      <c r="B930" s="14"/>
      <c r="C930" s="15"/>
      <c r="E930" s="16"/>
      <c r="F930" s="16"/>
    </row>
    <row r="931" ht="14.25" customHeight="1" spans="2:6">
      <c r="B931" s="14"/>
      <c r="C931" s="15"/>
      <c r="E931" s="16"/>
      <c r="F931" s="16"/>
    </row>
    <row r="932" ht="14.25" customHeight="1" spans="2:6">
      <c r="B932" s="14"/>
      <c r="C932" s="15"/>
      <c r="E932" s="16"/>
      <c r="F932" s="16"/>
    </row>
    <row r="933" ht="14.25" customHeight="1" spans="2:6">
      <c r="B933" s="14"/>
      <c r="C933" s="15"/>
      <c r="E933" s="16"/>
      <c r="F933" s="16"/>
    </row>
    <row r="934" ht="14.25" customHeight="1" spans="2:6">
      <c r="B934" s="14"/>
      <c r="C934" s="15"/>
      <c r="E934" s="16"/>
      <c r="F934" s="16"/>
    </row>
    <row r="935" ht="14.25" customHeight="1" spans="2:6">
      <c r="B935" s="14"/>
      <c r="C935" s="15"/>
      <c r="E935" s="16"/>
      <c r="F935" s="16"/>
    </row>
    <row r="936" ht="14.25" customHeight="1" spans="2:6">
      <c r="B936" s="14"/>
      <c r="C936" s="15"/>
      <c r="E936" s="16"/>
      <c r="F936" s="16"/>
    </row>
    <row r="937" ht="14.25" customHeight="1" spans="2:6">
      <c r="B937" s="14"/>
      <c r="C937" s="15"/>
      <c r="E937" s="16"/>
      <c r="F937" s="16"/>
    </row>
    <row r="938" ht="14.25" customHeight="1" spans="2:6">
      <c r="B938" s="14"/>
      <c r="C938" s="15"/>
      <c r="E938" s="16"/>
      <c r="F938" s="16"/>
    </row>
    <row r="939" ht="14.25" customHeight="1" spans="2:6">
      <c r="B939" s="14"/>
      <c r="C939" s="15"/>
      <c r="E939" s="16"/>
      <c r="F939" s="16"/>
    </row>
    <row r="940" ht="14.25" customHeight="1" spans="2:6">
      <c r="B940" s="14"/>
      <c r="C940" s="15"/>
      <c r="E940" s="16"/>
      <c r="F940" s="16"/>
    </row>
    <row r="941" ht="14.25" customHeight="1" spans="2:6">
      <c r="B941" s="14"/>
      <c r="C941" s="15"/>
      <c r="E941" s="16"/>
      <c r="F941" s="16"/>
    </row>
    <row r="942" ht="14.25" customHeight="1" spans="2:6">
      <c r="B942" s="14"/>
      <c r="C942" s="15"/>
      <c r="E942" s="16"/>
      <c r="F942" s="16"/>
    </row>
    <row r="943" ht="14.25" customHeight="1" spans="2:6">
      <c r="B943" s="14"/>
      <c r="C943" s="15"/>
      <c r="E943" s="16"/>
      <c r="F943" s="16"/>
    </row>
    <row r="944" ht="14.25" customHeight="1" spans="2:6">
      <c r="B944" s="14"/>
      <c r="C944" s="15"/>
      <c r="E944" s="16"/>
      <c r="F944" s="16"/>
    </row>
    <row r="945" ht="14.25" customHeight="1" spans="2:6">
      <c r="B945" s="14"/>
      <c r="C945" s="15"/>
      <c r="E945" s="16"/>
      <c r="F945" s="16"/>
    </row>
    <row r="946" ht="14.25" customHeight="1" spans="2:6">
      <c r="B946" s="14"/>
      <c r="C946" s="15"/>
      <c r="E946" s="16"/>
      <c r="F946" s="16"/>
    </row>
    <row r="947" ht="14.25" customHeight="1" spans="2:6">
      <c r="B947" s="14"/>
      <c r="C947" s="15"/>
      <c r="E947" s="16"/>
      <c r="F947" s="16"/>
    </row>
    <row r="948" ht="14.25" customHeight="1" spans="2:6">
      <c r="B948" s="14"/>
      <c r="C948" s="15"/>
      <c r="E948" s="16"/>
      <c r="F948" s="16"/>
    </row>
    <row r="949" ht="14.25" customHeight="1" spans="2:6">
      <c r="B949" s="14"/>
      <c r="C949" s="15"/>
      <c r="E949" s="16"/>
      <c r="F949" s="16"/>
    </row>
    <row r="950" ht="14.25" customHeight="1" spans="2:6">
      <c r="B950" s="14"/>
      <c r="C950" s="15"/>
      <c r="E950" s="16"/>
      <c r="F950" s="16"/>
    </row>
    <row r="951" ht="14.25" customHeight="1" spans="2:6">
      <c r="B951" s="14"/>
      <c r="C951" s="15"/>
      <c r="E951" s="16"/>
      <c r="F951" s="16"/>
    </row>
    <row r="952" ht="14.25" customHeight="1" spans="2:6">
      <c r="B952" s="14"/>
      <c r="C952" s="15"/>
      <c r="E952" s="16"/>
      <c r="F952" s="16"/>
    </row>
    <row r="953" ht="14.25" customHeight="1" spans="2:6">
      <c r="B953" s="14"/>
      <c r="C953" s="15"/>
      <c r="E953" s="16"/>
      <c r="F953" s="16"/>
    </row>
    <row r="954" ht="14.25" customHeight="1" spans="2:6">
      <c r="B954" s="14"/>
      <c r="C954" s="15"/>
      <c r="E954" s="16"/>
      <c r="F954" s="16"/>
    </row>
    <row r="955" ht="14.25" customHeight="1" spans="2:6">
      <c r="B955" s="14"/>
      <c r="C955" s="15"/>
      <c r="E955" s="16"/>
      <c r="F955" s="16"/>
    </row>
    <row r="956" ht="14.25" customHeight="1" spans="2:6">
      <c r="B956" s="14"/>
      <c r="C956" s="15"/>
      <c r="E956" s="16"/>
      <c r="F956" s="16"/>
    </row>
    <row r="957" ht="14.25" customHeight="1" spans="2:6">
      <c r="B957" s="14"/>
      <c r="C957" s="15"/>
      <c r="E957" s="16"/>
      <c r="F957" s="16"/>
    </row>
    <row r="958" ht="14.25" customHeight="1" spans="2:6">
      <c r="B958" s="14"/>
      <c r="C958" s="15"/>
      <c r="E958" s="16"/>
      <c r="F958" s="16"/>
    </row>
    <row r="959" ht="14.25" customHeight="1" spans="2:6">
      <c r="B959" s="14"/>
      <c r="C959" s="15"/>
      <c r="E959" s="16"/>
      <c r="F959" s="16"/>
    </row>
    <row r="960" ht="14.25" customHeight="1" spans="2:6">
      <c r="B960" s="14"/>
      <c r="C960" s="15"/>
      <c r="E960" s="16"/>
      <c r="F960" s="16"/>
    </row>
    <row r="961" ht="14.25" customHeight="1" spans="2:6">
      <c r="B961" s="14"/>
      <c r="C961" s="15"/>
      <c r="E961" s="16"/>
      <c r="F961" s="16"/>
    </row>
    <row r="962" ht="14.25" customHeight="1" spans="2:6">
      <c r="B962" s="14"/>
      <c r="C962" s="15"/>
      <c r="E962" s="16"/>
      <c r="F962" s="16"/>
    </row>
    <row r="963" ht="14.25" customHeight="1" spans="2:6">
      <c r="B963" s="14"/>
      <c r="C963" s="15"/>
      <c r="E963" s="16"/>
      <c r="F963" s="16"/>
    </row>
    <row r="964" ht="14.25" customHeight="1" spans="2:6">
      <c r="B964" s="14"/>
      <c r="C964" s="15"/>
      <c r="E964" s="16"/>
      <c r="F964" s="16"/>
    </row>
    <row r="965" ht="14.25" customHeight="1" spans="2:6">
      <c r="B965" s="14"/>
      <c r="C965" s="15"/>
      <c r="E965" s="16"/>
      <c r="F965" s="16"/>
    </row>
    <row r="966" ht="14.25" customHeight="1" spans="2:6">
      <c r="B966" s="14"/>
      <c r="C966" s="15"/>
      <c r="E966" s="16"/>
      <c r="F966" s="16"/>
    </row>
    <row r="967" ht="14.25" customHeight="1" spans="2:6">
      <c r="B967" s="14"/>
      <c r="C967" s="15"/>
      <c r="E967" s="16"/>
      <c r="F967" s="16"/>
    </row>
    <row r="968" ht="14.25" customHeight="1" spans="2:6">
      <c r="B968" s="14"/>
      <c r="C968" s="15"/>
      <c r="E968" s="16"/>
      <c r="F968" s="16"/>
    </row>
    <row r="969" ht="14.25" customHeight="1" spans="2:6">
      <c r="B969" s="14"/>
      <c r="C969" s="15"/>
      <c r="E969" s="16"/>
      <c r="F969" s="16"/>
    </row>
    <row r="970" ht="14.25" customHeight="1" spans="2:6">
      <c r="B970" s="14"/>
      <c r="C970" s="15"/>
      <c r="E970" s="16"/>
      <c r="F970" s="16"/>
    </row>
    <row r="971" ht="14.25" customHeight="1" spans="2:6">
      <c r="B971" s="14"/>
      <c r="C971" s="15"/>
      <c r="E971" s="16"/>
      <c r="F971" s="16"/>
    </row>
    <row r="972" ht="14.25" customHeight="1" spans="2:6">
      <c r="B972" s="14"/>
      <c r="C972" s="15"/>
      <c r="E972" s="16"/>
      <c r="F972" s="16"/>
    </row>
    <row r="973" ht="14.25" customHeight="1" spans="2:6">
      <c r="B973" s="14"/>
      <c r="C973" s="15"/>
      <c r="E973" s="16"/>
      <c r="F973" s="16"/>
    </row>
    <row r="974" ht="14.25" customHeight="1" spans="2:6">
      <c r="B974" s="14"/>
      <c r="C974" s="15"/>
      <c r="E974" s="16"/>
      <c r="F974" s="16"/>
    </row>
    <row r="975" ht="14.25" customHeight="1" spans="2:6">
      <c r="B975" s="14"/>
      <c r="C975" s="15"/>
      <c r="E975" s="16"/>
      <c r="F975" s="16"/>
    </row>
    <row r="976" ht="14.25" customHeight="1" spans="2:6">
      <c r="B976" s="14"/>
      <c r="C976" s="15"/>
      <c r="E976" s="16"/>
      <c r="F976" s="16"/>
    </row>
    <row r="977" ht="14.25" customHeight="1" spans="2:6">
      <c r="B977" s="14"/>
      <c r="C977" s="15"/>
      <c r="E977" s="16"/>
      <c r="F977" s="16"/>
    </row>
    <row r="978" ht="14.25" customHeight="1" spans="2:6">
      <c r="B978" s="14"/>
      <c r="C978" s="15"/>
      <c r="E978" s="16"/>
      <c r="F978" s="16"/>
    </row>
    <row r="979" ht="14.25" customHeight="1" spans="2:6">
      <c r="B979" s="14"/>
      <c r="C979" s="15"/>
      <c r="E979" s="16"/>
      <c r="F979" s="16"/>
    </row>
    <row r="980" ht="14.25" customHeight="1" spans="2:6">
      <c r="B980" s="14"/>
      <c r="C980" s="15"/>
      <c r="E980" s="16"/>
      <c r="F980" s="16"/>
    </row>
    <row r="981" ht="14.25" customHeight="1" spans="2:6">
      <c r="B981" s="14"/>
      <c r="C981" s="15"/>
      <c r="E981" s="16"/>
      <c r="F981" s="16"/>
    </row>
    <row r="982" ht="14.25" customHeight="1" spans="2:6">
      <c r="B982" s="14"/>
      <c r="C982" s="15"/>
      <c r="E982" s="16"/>
      <c r="F982" s="16"/>
    </row>
    <row r="983" ht="14.25" customHeight="1" spans="2:6">
      <c r="B983" s="14"/>
      <c r="C983" s="15"/>
      <c r="E983" s="16"/>
      <c r="F983" s="16"/>
    </row>
    <row r="984" ht="14.25" customHeight="1" spans="2:6">
      <c r="B984" s="14"/>
      <c r="C984" s="15"/>
      <c r="E984" s="16"/>
      <c r="F984" s="16"/>
    </row>
    <row r="985" ht="14.25" customHeight="1" spans="2:6">
      <c r="B985" s="14"/>
      <c r="C985" s="15"/>
      <c r="E985" s="16"/>
      <c r="F985" s="16"/>
    </row>
    <row r="986" ht="14.25" customHeight="1" spans="2:6">
      <c r="B986" s="14"/>
      <c r="C986" s="15"/>
      <c r="E986" s="16"/>
      <c r="F986" s="16"/>
    </row>
    <row r="987" ht="14.25" customHeight="1" spans="2:6">
      <c r="B987" s="14"/>
      <c r="C987" s="15"/>
      <c r="E987" s="16"/>
      <c r="F987" s="16"/>
    </row>
    <row r="988" ht="14.25" customHeight="1" spans="2:6">
      <c r="B988" s="14"/>
      <c r="C988" s="15"/>
      <c r="E988" s="16"/>
      <c r="F988" s="16"/>
    </row>
    <row r="989" ht="14.25" customHeight="1" spans="2:6">
      <c r="B989" s="14"/>
      <c r="C989" s="15"/>
      <c r="E989" s="16"/>
      <c r="F989" s="16"/>
    </row>
    <row r="990" ht="14.25" customHeight="1" spans="2:6">
      <c r="B990" s="14"/>
      <c r="C990" s="15"/>
      <c r="E990" s="16"/>
      <c r="F990" s="16"/>
    </row>
    <row r="991" ht="14.25" customHeight="1" spans="2:6">
      <c r="B991" s="14"/>
      <c r="C991" s="15"/>
      <c r="E991" s="16"/>
      <c r="F991" s="16"/>
    </row>
    <row r="992" ht="14.25" customHeight="1" spans="2:6">
      <c r="B992" s="14"/>
      <c r="C992" s="15"/>
      <c r="E992" s="16"/>
      <c r="F992" s="16"/>
    </row>
    <row r="993" ht="14.25" customHeight="1" spans="2:6">
      <c r="B993" s="14"/>
      <c r="C993" s="15"/>
      <c r="E993" s="16"/>
      <c r="F993" s="16"/>
    </row>
    <row r="994" ht="14.25" customHeight="1" spans="2:6">
      <c r="B994" s="14"/>
      <c r="C994" s="15"/>
      <c r="E994" s="16"/>
      <c r="F994" s="16"/>
    </row>
    <row r="995" ht="14.25" customHeight="1" spans="2:6">
      <c r="B995" s="14"/>
      <c r="C995" s="15"/>
      <c r="E995" s="16"/>
      <c r="F995" s="16"/>
    </row>
    <row r="996" ht="14.25" customHeight="1" spans="2:6">
      <c r="B996" s="14"/>
      <c r="C996" s="15"/>
      <c r="E996" s="16"/>
      <c r="F996" s="16"/>
    </row>
    <row r="997" ht="14.25" customHeight="1" spans="2:6">
      <c r="B997" s="14"/>
      <c r="C997" s="15"/>
      <c r="E997" s="16"/>
      <c r="F997" s="16"/>
    </row>
    <row r="998" ht="14.25" customHeight="1" spans="2:6">
      <c r="B998" s="14"/>
      <c r="C998" s="15"/>
      <c r="E998" s="16"/>
      <c r="F998" s="16"/>
    </row>
  </sheetData>
  <dataValidations count="2">
    <dataValidation type="custom" allowBlank="1" sqref="A2:A74 C2:G74">
      <formula1>AND(ISNUMBER(A2),(NOT(OR(NOT(ISERROR(DATEVALUE(A2))),AND(ISNUMBER(A2),LEFT(CELL("format",A2))="D")))))</formula1>
    </dataValidation>
    <dataValidation allowBlank="1" sqref="B2:B74"/>
  </dataValidations>
  <pageMargins left="0.7" right="0.7" top="0.75" bottom="0.75" header="0" footer="0"/>
  <pageSetup paperSize="1" orientation="landscape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0"/>
  <sheetViews>
    <sheetView workbookViewId="0">
      <selection activeCell="A1" sqref="A1"/>
    </sheetView>
  </sheetViews>
  <sheetFormatPr defaultColWidth="14.4285714285714" defaultRowHeight="15" customHeight="1"/>
  <cols>
    <col min="1" max="26" width="8.71428571428571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0"/>
  <sheetViews>
    <sheetView workbookViewId="0">
      <selection activeCell="A1" sqref="A1"/>
    </sheetView>
  </sheetViews>
  <sheetFormatPr defaultColWidth="14.4285714285714" defaultRowHeight="15" customHeight="1"/>
  <cols>
    <col min="1" max="26" width="8.71428571428571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Muhibat</cp:lastModifiedBy>
  <dcterms:created xsi:type="dcterms:W3CDTF">2022-07-03T02:12:00Z</dcterms:created>
  <dcterms:modified xsi:type="dcterms:W3CDTF">2026-02-21T02:59:58Z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65DCA7FB944D4D41BD19FAF1AAE477DA_12</vt:lpwstr>
  </property>
  <property fmtid="{D5CDD505-2E9C-101B-9397-08002B2CF9AE}" pid="3" name="KSOProductBuildVer">
    <vt:lpwstr>2057-12.2.0.23197</vt:lpwstr>
  </property>
</Properties>
</file>